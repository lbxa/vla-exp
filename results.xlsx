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/c/thesis/vla-rlx/"/>
    </mc:Choice>
  </mc:AlternateContent>
  <xr:revisionPtr revIDLastSave="0" documentId="13_ncr:1_{0425BAF6-156B-2B43-B65E-41CB007585C2}" xr6:coauthVersionLast="47" xr6:coauthVersionMax="47" xr10:uidLastSave="{00000000-0000-0000-0000-000000000000}"/>
  <bookViews>
    <workbookView xWindow="3380" yWindow="5720" windowWidth="28040" windowHeight="17180" xr2:uid="{8CABF2E6-BC5D-5A40-BE46-651022128CB3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F27" i="1"/>
  <c r="F28" i="1" s="1"/>
  <c r="F29" i="1" s="1"/>
  <c r="G27" i="1"/>
  <c r="G28" i="1" s="1"/>
  <c r="G29" i="1" s="1"/>
  <c r="H27" i="1"/>
  <c r="H28" i="1" s="1"/>
  <c r="H29" i="1" s="1"/>
  <c r="I27" i="1"/>
  <c r="I28" i="1" s="1"/>
  <c r="I29" i="1" s="1"/>
  <c r="E28" i="1"/>
  <c r="E29" i="1"/>
  <c r="D27" i="1"/>
  <c r="D28" i="1" s="1"/>
  <c r="D29" i="1" s="1"/>
  <c r="C29" i="1"/>
  <c r="C28" i="1"/>
  <c r="C27" i="1"/>
  <c r="D23" i="1"/>
  <c r="E23" i="1"/>
  <c r="E24" i="1" s="1"/>
  <c r="E25" i="1" s="1"/>
  <c r="F23" i="1"/>
  <c r="F24" i="1" s="1"/>
  <c r="F25" i="1" s="1"/>
  <c r="G23" i="1"/>
  <c r="G24" i="1" s="1"/>
  <c r="G25" i="1" s="1"/>
  <c r="H23" i="1"/>
  <c r="I23" i="1"/>
  <c r="D24" i="1"/>
  <c r="H24" i="1"/>
  <c r="H25" i="1" s="1"/>
  <c r="I24" i="1"/>
  <c r="I25" i="1" s="1"/>
  <c r="D25" i="1"/>
  <c r="C25" i="1"/>
  <c r="C24" i="1"/>
  <c r="C23" i="1"/>
  <c r="I179" i="1"/>
  <c r="H179" i="1"/>
  <c r="G179" i="1"/>
  <c r="F179" i="1"/>
  <c r="E179" i="1"/>
  <c r="D179" i="1"/>
  <c r="C179" i="1"/>
  <c r="I178" i="1"/>
  <c r="H178" i="1"/>
  <c r="G178" i="1"/>
  <c r="F178" i="1"/>
  <c r="E178" i="1"/>
  <c r="D178" i="1"/>
  <c r="C178" i="1"/>
  <c r="I155" i="1"/>
  <c r="H155" i="1"/>
  <c r="G155" i="1"/>
  <c r="F155" i="1"/>
  <c r="E155" i="1"/>
  <c r="D155" i="1"/>
  <c r="C155" i="1"/>
  <c r="I154" i="1"/>
  <c r="H154" i="1"/>
  <c r="G154" i="1"/>
  <c r="F154" i="1"/>
  <c r="E154" i="1"/>
  <c r="D154" i="1"/>
  <c r="C154" i="1"/>
  <c r="I131" i="1"/>
  <c r="H131" i="1"/>
  <c r="G131" i="1"/>
  <c r="F131" i="1"/>
  <c r="E131" i="1"/>
  <c r="D131" i="1"/>
  <c r="C131" i="1"/>
  <c r="I130" i="1"/>
  <c r="H130" i="1"/>
  <c r="G130" i="1"/>
  <c r="F130" i="1"/>
  <c r="E130" i="1"/>
  <c r="D130" i="1"/>
  <c r="C130" i="1"/>
  <c r="I107" i="1"/>
  <c r="H107" i="1"/>
  <c r="H108" i="1" s="1"/>
  <c r="G107" i="1"/>
  <c r="F107" i="1"/>
  <c r="E107" i="1"/>
  <c r="D107" i="1"/>
  <c r="C107" i="1"/>
  <c r="I106" i="1"/>
  <c r="H106" i="1"/>
  <c r="G106" i="1"/>
  <c r="F106" i="1"/>
  <c r="E106" i="1"/>
  <c r="D106" i="1"/>
  <c r="C106" i="1"/>
  <c r="I83" i="1"/>
  <c r="H83" i="1"/>
  <c r="G83" i="1"/>
  <c r="F83" i="1"/>
  <c r="E83" i="1"/>
  <c r="D83" i="1"/>
  <c r="C83" i="1"/>
  <c r="I82" i="1"/>
  <c r="H82" i="1"/>
  <c r="G82" i="1"/>
  <c r="F82" i="1"/>
  <c r="E82" i="1"/>
  <c r="D82" i="1"/>
  <c r="C82" i="1"/>
  <c r="I59" i="1"/>
  <c r="H59" i="1"/>
  <c r="G59" i="1"/>
  <c r="F59" i="1"/>
  <c r="E59" i="1"/>
  <c r="D59" i="1"/>
  <c r="C59" i="1"/>
  <c r="I58" i="1"/>
  <c r="H58" i="1"/>
  <c r="G58" i="1"/>
  <c r="F58" i="1"/>
  <c r="E58" i="1"/>
  <c r="D58" i="1"/>
  <c r="C58" i="1"/>
  <c r="D26" i="1"/>
  <c r="E26" i="1"/>
  <c r="F26" i="1"/>
  <c r="G26" i="1"/>
  <c r="G30" i="1" s="1"/>
  <c r="H26" i="1"/>
  <c r="H30" i="1" s="1"/>
  <c r="I26" i="1"/>
  <c r="I30" i="1" s="1"/>
  <c r="C26" i="1"/>
  <c r="I22" i="1"/>
  <c r="D22" i="1"/>
  <c r="E22" i="1"/>
  <c r="F22" i="1"/>
  <c r="G22" i="1"/>
  <c r="H22" i="1"/>
  <c r="C22" i="1"/>
  <c r="G180" i="1" l="1"/>
  <c r="H132" i="1"/>
  <c r="H156" i="1"/>
  <c r="H180" i="1"/>
  <c r="G60" i="1"/>
  <c r="G84" i="1"/>
  <c r="G108" i="1"/>
  <c r="G132" i="1"/>
  <c r="G156" i="1"/>
  <c r="H60" i="1"/>
  <c r="H84" i="1"/>
  <c r="I60" i="1"/>
  <c r="I84" i="1"/>
  <c r="I108" i="1"/>
  <c r="I132" i="1"/>
  <c r="I156" i="1"/>
  <c r="I180" i="1"/>
</calcChain>
</file>

<file path=xl/sharedStrings.xml><?xml version="1.0" encoding="utf-8"?>
<sst xmlns="http://schemas.openxmlformats.org/spreadsheetml/2006/main" count="176" uniqueCount="25">
  <si>
    <t>Task</t>
  </si>
  <si>
    <t>Trial</t>
  </si>
  <si>
    <t>Base</t>
  </si>
  <si>
    <t>RL_TD3</t>
  </si>
  <si>
    <t>RL_SAC</t>
  </si>
  <si>
    <t>RL_PPO</t>
  </si>
  <si>
    <t>Res_TD3</t>
  </si>
  <si>
    <t>Res_SAC</t>
  </si>
  <si>
    <t>Res_PPO</t>
  </si>
  <si>
    <t>rubix-stack-v1</t>
  </si>
  <si>
    <t>MP</t>
  </si>
  <si>
    <t>Gen</t>
  </si>
  <si>
    <t>Transfer Gap</t>
  </si>
  <si>
    <t>bus-table-easy-v1</t>
  </si>
  <si>
    <t>bus-table-medium-v1</t>
  </si>
  <si>
    <t>bus-table-hard-v1</t>
  </si>
  <si>
    <t>close-bottle-lid-v1</t>
  </si>
  <si>
    <t>erase-whiteboard-v1</t>
  </si>
  <si>
    <t>close-french-press-v1</t>
  </si>
  <si>
    <t>MP s</t>
  </si>
  <si>
    <t>MP SE</t>
  </si>
  <si>
    <t>Gen s</t>
  </si>
  <si>
    <t>Gen SE</t>
  </si>
  <si>
    <t>MP 95% CI</t>
  </si>
  <si>
    <t>Gen 95% 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</si>
</sst>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C8AD3-A429-0444-A8B6-EA347805CA30}">
  <dimension ref="A1:I180"/>
  <sheetViews>
    <sheetView tabSelected="1" topLeftCell="A85" zoomScale="125" workbookViewId="0">
      <selection activeCell="D90" sqref="D90"/>
    </sheetView>
  </sheetViews>
  <sheetFormatPr baseColWidth="10" defaultRowHeight="16" x14ac:dyDescent="0.2"/>
  <cols>
    <col min="1" max="1" width="19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>
        <v>1</v>
      </c>
      <c r="C2">
        <v>0.5</v>
      </c>
      <c r="D2">
        <v>0</v>
      </c>
      <c r="E2">
        <v>0.25</v>
      </c>
      <c r="F2">
        <v>0</v>
      </c>
      <c r="G2">
        <v>0.5</v>
      </c>
      <c r="H2">
        <v>0.5</v>
      </c>
      <c r="I2">
        <v>0.5</v>
      </c>
    </row>
    <row r="3" spans="1:9" x14ac:dyDescent="0.2">
      <c r="A3" t="s">
        <v>9</v>
      </c>
      <c r="B3">
        <v>2</v>
      </c>
      <c r="C3">
        <v>0.5</v>
      </c>
      <c r="D3">
        <v>0.25</v>
      </c>
      <c r="E3">
        <v>0</v>
      </c>
      <c r="F3">
        <v>0.25</v>
      </c>
      <c r="G3">
        <v>0.5</v>
      </c>
      <c r="H3">
        <v>0.75</v>
      </c>
      <c r="I3">
        <v>0.5</v>
      </c>
    </row>
    <row r="4" spans="1:9" x14ac:dyDescent="0.2">
      <c r="A4" t="s">
        <v>9</v>
      </c>
      <c r="B4">
        <v>3</v>
      </c>
      <c r="C4">
        <v>0.75</v>
      </c>
      <c r="D4">
        <v>0</v>
      </c>
      <c r="E4">
        <v>0.25</v>
      </c>
      <c r="F4">
        <v>0</v>
      </c>
      <c r="G4">
        <v>0.75</v>
      </c>
      <c r="H4">
        <v>0.75</v>
      </c>
      <c r="I4">
        <v>0.75</v>
      </c>
    </row>
    <row r="5" spans="1:9" x14ac:dyDescent="0.2">
      <c r="A5" t="s">
        <v>9</v>
      </c>
      <c r="B5">
        <v>4</v>
      </c>
      <c r="C5">
        <v>0.5</v>
      </c>
      <c r="D5">
        <v>0.25</v>
      </c>
      <c r="E5">
        <v>0.25</v>
      </c>
      <c r="F5">
        <v>0.25</v>
      </c>
      <c r="G5">
        <v>0.5</v>
      </c>
      <c r="H5">
        <v>0.75</v>
      </c>
      <c r="I5">
        <v>0.75</v>
      </c>
    </row>
    <row r="6" spans="1:9" x14ac:dyDescent="0.2">
      <c r="A6" t="s">
        <v>9</v>
      </c>
      <c r="B6">
        <v>5</v>
      </c>
      <c r="C6">
        <v>0.25</v>
      </c>
      <c r="D6">
        <v>0</v>
      </c>
      <c r="E6">
        <v>0</v>
      </c>
      <c r="F6">
        <v>0</v>
      </c>
      <c r="G6">
        <v>0.75</v>
      </c>
      <c r="H6">
        <v>0.75</v>
      </c>
      <c r="I6">
        <v>0.5</v>
      </c>
    </row>
    <row r="7" spans="1:9" x14ac:dyDescent="0.2">
      <c r="A7" t="s">
        <v>9</v>
      </c>
      <c r="B7">
        <v>6</v>
      </c>
      <c r="C7">
        <v>0.5</v>
      </c>
      <c r="D7">
        <v>0.25</v>
      </c>
      <c r="E7">
        <v>0.25</v>
      </c>
      <c r="F7">
        <v>0.25</v>
      </c>
      <c r="G7">
        <v>0.75</v>
      </c>
      <c r="H7">
        <v>0.75</v>
      </c>
      <c r="I7">
        <v>0.75</v>
      </c>
    </row>
    <row r="8" spans="1:9" x14ac:dyDescent="0.2">
      <c r="A8" t="s">
        <v>9</v>
      </c>
      <c r="B8">
        <v>7</v>
      </c>
      <c r="C8">
        <v>0.25</v>
      </c>
      <c r="D8">
        <v>0</v>
      </c>
      <c r="E8">
        <v>0.5</v>
      </c>
      <c r="F8">
        <v>0</v>
      </c>
      <c r="G8">
        <v>0.5</v>
      </c>
      <c r="H8">
        <v>0.75</v>
      </c>
      <c r="I8">
        <v>0.5</v>
      </c>
    </row>
    <row r="9" spans="1:9" x14ac:dyDescent="0.2">
      <c r="A9" t="s">
        <v>9</v>
      </c>
      <c r="B9">
        <v>8</v>
      </c>
      <c r="C9">
        <v>0.5</v>
      </c>
      <c r="D9">
        <v>0.25</v>
      </c>
      <c r="E9">
        <v>0</v>
      </c>
      <c r="F9">
        <v>0.25</v>
      </c>
      <c r="G9">
        <v>0.75</v>
      </c>
      <c r="H9">
        <v>1</v>
      </c>
      <c r="I9">
        <v>0.75</v>
      </c>
    </row>
    <row r="10" spans="1:9" x14ac:dyDescent="0.2">
      <c r="A10" t="s">
        <v>9</v>
      </c>
      <c r="B10">
        <v>9</v>
      </c>
      <c r="C10">
        <v>0.25</v>
      </c>
      <c r="D10">
        <v>0</v>
      </c>
      <c r="E10">
        <v>0.25</v>
      </c>
      <c r="F10">
        <v>0</v>
      </c>
      <c r="G10">
        <v>0.75</v>
      </c>
      <c r="H10">
        <v>0.75</v>
      </c>
      <c r="I10">
        <v>0.75</v>
      </c>
    </row>
    <row r="11" spans="1:9" x14ac:dyDescent="0.2">
      <c r="A11" t="s">
        <v>9</v>
      </c>
      <c r="B11">
        <v>10</v>
      </c>
      <c r="C11">
        <v>0.5</v>
      </c>
      <c r="D11">
        <v>0.25</v>
      </c>
      <c r="E11">
        <v>0.25</v>
      </c>
      <c r="F11">
        <v>0.25</v>
      </c>
      <c r="G11">
        <v>0.75</v>
      </c>
      <c r="H11">
        <v>1</v>
      </c>
      <c r="I11">
        <v>0.75</v>
      </c>
    </row>
    <row r="12" spans="1:9" x14ac:dyDescent="0.2">
      <c r="A12" t="s">
        <v>9</v>
      </c>
      <c r="B12">
        <v>11</v>
      </c>
      <c r="C12">
        <v>0.25</v>
      </c>
      <c r="D12">
        <v>0.25</v>
      </c>
      <c r="E12">
        <v>0.25</v>
      </c>
      <c r="F12">
        <v>0</v>
      </c>
      <c r="G12">
        <v>0.5</v>
      </c>
      <c r="H12">
        <v>0.75</v>
      </c>
      <c r="I12">
        <v>0.5</v>
      </c>
    </row>
    <row r="13" spans="1:9" x14ac:dyDescent="0.2">
      <c r="A13" t="s">
        <v>9</v>
      </c>
      <c r="B13">
        <v>12</v>
      </c>
      <c r="C13">
        <v>0</v>
      </c>
      <c r="D13">
        <v>0</v>
      </c>
      <c r="E13">
        <v>0</v>
      </c>
      <c r="F13">
        <v>0.25</v>
      </c>
      <c r="G13">
        <v>0.5</v>
      </c>
      <c r="H13">
        <v>0.75</v>
      </c>
      <c r="I13">
        <v>0.75</v>
      </c>
    </row>
    <row r="14" spans="1:9" x14ac:dyDescent="0.2">
      <c r="A14" t="s">
        <v>9</v>
      </c>
      <c r="B14">
        <v>13</v>
      </c>
      <c r="C14">
        <v>0.25</v>
      </c>
      <c r="D14">
        <v>0.25</v>
      </c>
      <c r="E14">
        <v>0.5</v>
      </c>
      <c r="F14">
        <v>0</v>
      </c>
      <c r="G14">
        <v>0.75</v>
      </c>
      <c r="H14">
        <v>0.75</v>
      </c>
      <c r="I14">
        <v>0.5</v>
      </c>
    </row>
    <row r="15" spans="1:9" x14ac:dyDescent="0.2">
      <c r="A15" t="s">
        <v>9</v>
      </c>
      <c r="B15">
        <v>14</v>
      </c>
      <c r="C15">
        <v>0</v>
      </c>
      <c r="D15">
        <v>0</v>
      </c>
      <c r="E15">
        <v>0</v>
      </c>
      <c r="F15">
        <v>0</v>
      </c>
      <c r="G15">
        <v>0.5</v>
      </c>
      <c r="H15">
        <v>0.5</v>
      </c>
      <c r="I15">
        <v>0.5</v>
      </c>
    </row>
    <row r="16" spans="1:9" x14ac:dyDescent="0.2">
      <c r="A16" t="s">
        <v>9</v>
      </c>
      <c r="B16">
        <v>15</v>
      </c>
      <c r="C16">
        <v>0.25</v>
      </c>
      <c r="D16">
        <v>0.25</v>
      </c>
      <c r="E16">
        <v>0.25</v>
      </c>
      <c r="F16">
        <v>0.25</v>
      </c>
      <c r="G16">
        <v>0.75</v>
      </c>
      <c r="H16">
        <v>0.75</v>
      </c>
      <c r="I16">
        <v>0.75</v>
      </c>
    </row>
    <row r="17" spans="1:9" x14ac:dyDescent="0.2">
      <c r="A17" t="s">
        <v>9</v>
      </c>
      <c r="B17">
        <v>16</v>
      </c>
      <c r="C17">
        <v>0</v>
      </c>
      <c r="D17">
        <v>0</v>
      </c>
      <c r="E17">
        <v>0.25</v>
      </c>
      <c r="F17">
        <v>0</v>
      </c>
      <c r="G17">
        <v>0.5</v>
      </c>
      <c r="H17">
        <v>0.75</v>
      </c>
      <c r="I17">
        <v>0.5</v>
      </c>
    </row>
    <row r="18" spans="1:9" x14ac:dyDescent="0.2">
      <c r="A18" t="s">
        <v>9</v>
      </c>
      <c r="B18">
        <v>17</v>
      </c>
      <c r="C18">
        <v>0.25</v>
      </c>
      <c r="D18">
        <v>0.25</v>
      </c>
      <c r="E18">
        <v>0</v>
      </c>
      <c r="F18">
        <v>0.25</v>
      </c>
      <c r="G18">
        <v>0.5</v>
      </c>
      <c r="H18">
        <v>0.5</v>
      </c>
      <c r="I18">
        <v>0.75</v>
      </c>
    </row>
    <row r="19" spans="1:9" x14ac:dyDescent="0.2">
      <c r="A19" t="s">
        <v>9</v>
      </c>
      <c r="B19">
        <v>18</v>
      </c>
      <c r="C19">
        <v>0</v>
      </c>
      <c r="D19">
        <v>0</v>
      </c>
      <c r="E19">
        <v>0.25</v>
      </c>
      <c r="F19">
        <v>0</v>
      </c>
      <c r="G19">
        <v>0.75</v>
      </c>
      <c r="H19">
        <v>0.75</v>
      </c>
      <c r="I19">
        <v>0.5</v>
      </c>
    </row>
    <row r="20" spans="1:9" x14ac:dyDescent="0.2">
      <c r="A20" t="s">
        <v>9</v>
      </c>
      <c r="B20">
        <v>19</v>
      </c>
      <c r="C20">
        <v>0.25</v>
      </c>
      <c r="D20">
        <v>0.25</v>
      </c>
      <c r="E20">
        <v>0.5</v>
      </c>
      <c r="F20">
        <v>0.25</v>
      </c>
      <c r="G20">
        <v>0.5</v>
      </c>
      <c r="H20">
        <v>0.75</v>
      </c>
      <c r="I20">
        <v>0.75</v>
      </c>
    </row>
    <row r="21" spans="1:9" x14ac:dyDescent="0.2">
      <c r="A21" t="s">
        <v>9</v>
      </c>
      <c r="B21">
        <v>20</v>
      </c>
      <c r="C21">
        <v>0</v>
      </c>
      <c r="D21">
        <v>0</v>
      </c>
      <c r="E21">
        <v>0</v>
      </c>
      <c r="F21">
        <v>0</v>
      </c>
      <c r="G21">
        <v>0.75</v>
      </c>
      <c r="H21">
        <v>0.75</v>
      </c>
      <c r="I21">
        <v>0.5</v>
      </c>
    </row>
    <row r="22" spans="1:9" x14ac:dyDescent="0.2">
      <c r="A22" s="1" t="s">
        <v>10</v>
      </c>
      <c r="C22">
        <f>AVERAGE(C2:C21)</f>
        <v>0.28749999999999998</v>
      </c>
      <c r="D22">
        <f t="shared" ref="D22:H22" si="0">AVERAGE(D2:D21)</f>
        <v>0.125</v>
      </c>
      <c r="E22">
        <f t="shared" si="0"/>
        <v>0.2</v>
      </c>
      <c r="F22">
        <f t="shared" si="0"/>
        <v>0.1125</v>
      </c>
      <c r="G22">
        <f t="shared" si="0"/>
        <v>0.625</v>
      </c>
      <c r="H22">
        <f t="shared" si="0"/>
        <v>0.73750000000000004</v>
      </c>
      <c r="I22">
        <f>AVERAGE(I2:I21)</f>
        <v>0.625</v>
      </c>
    </row>
    <row r="23" spans="1:9" x14ac:dyDescent="0.2">
      <c r="A23" t="s">
        <v>19</v>
      </c>
      <c r="C23">
        <f>_xlfn.STDEV.S(C2:C21)</f>
        <v>0.21877349497885515</v>
      </c>
      <c r="D23">
        <f t="shared" ref="D23:I23" si="1">_xlfn.STDEV.S(D2:D21)</f>
        <v>0.12824729401064425</v>
      </c>
      <c r="E23">
        <f t="shared" si="1"/>
        <v>0.17396309348461483</v>
      </c>
      <c r="F23">
        <f t="shared" si="1"/>
        <v>0.12760444638351012</v>
      </c>
      <c r="G23">
        <f t="shared" si="1"/>
        <v>0.12824729401064425</v>
      </c>
      <c r="H23">
        <f t="shared" si="1"/>
        <v>0.12760444638350996</v>
      </c>
      <c r="I23">
        <f t="shared" si="1"/>
        <v>0.12824729401064425</v>
      </c>
    </row>
    <row r="24" spans="1:9" x14ac:dyDescent="0.2">
      <c r="A24" t="s">
        <v>20</v>
      </c>
      <c r="C24">
        <f>C23/SQRT(20)</f>
        <v>4.8919240644792902E-2</v>
      </c>
      <c r="D24">
        <f t="shared" ref="D24:I24" si="2">D23/SQRT(20)</f>
        <v>2.8676966733820215E-2</v>
      </c>
      <c r="E24">
        <f t="shared" si="2"/>
        <v>3.8899330260774953E-2</v>
      </c>
      <c r="F24">
        <f t="shared" si="2"/>
        <v>2.8533221634475581E-2</v>
      </c>
      <c r="G24">
        <f t="shared" si="2"/>
        <v>2.8676966733820215E-2</v>
      </c>
      <c r="H24">
        <f t="shared" si="2"/>
        <v>2.8533221634475546E-2</v>
      </c>
      <c r="I24">
        <f t="shared" si="2"/>
        <v>2.8676966733820215E-2</v>
      </c>
    </row>
    <row r="25" spans="1:9" x14ac:dyDescent="0.2">
      <c r="A25" s="1" t="s">
        <v>23</v>
      </c>
      <c r="C25">
        <f>2.09*C24</f>
        <v>0.10224121294761716</v>
      </c>
      <c r="D25">
        <f t="shared" ref="D25:I25" si="3">2.09*D24</f>
        <v>5.9934860473684244E-2</v>
      </c>
      <c r="E25">
        <f t="shared" si="3"/>
        <v>8.1299600245019643E-2</v>
      </c>
      <c r="F25">
        <f t="shared" si="3"/>
        <v>5.963443321605396E-2</v>
      </c>
      <c r="G25">
        <f t="shared" si="3"/>
        <v>5.9934860473684244E-2</v>
      </c>
      <c r="H25">
        <f t="shared" si="3"/>
        <v>5.9634433216053884E-2</v>
      </c>
      <c r="I25">
        <f t="shared" si="3"/>
        <v>5.9934860473684244E-2</v>
      </c>
    </row>
    <row r="26" spans="1:9" x14ac:dyDescent="0.2">
      <c r="A26" s="1" t="s">
        <v>11</v>
      </c>
      <c r="C26">
        <f>AVERAGE(C12:C21)</f>
        <v>0.125</v>
      </c>
      <c r="D26">
        <f>AVERAGE(D12:D21)</f>
        <v>0.125</v>
      </c>
      <c r="E26">
        <f>AVERAGE(E12:E21)</f>
        <v>0.2</v>
      </c>
      <c r="F26">
        <f>AVERAGE(F12:F21)</f>
        <v>0.1</v>
      </c>
      <c r="G26">
        <f>AVERAGE(G12:G21)</f>
        <v>0.6</v>
      </c>
      <c r="H26">
        <f>AVERAGE(H12:H21)</f>
        <v>0.7</v>
      </c>
      <c r="I26">
        <f>AVERAGE(I12:I21)</f>
        <v>0.6</v>
      </c>
    </row>
    <row r="27" spans="1:9" x14ac:dyDescent="0.2">
      <c r="A27" t="s">
        <v>21</v>
      </c>
      <c r="C27">
        <f>_xlfn.STDEV.S(C12:C21)</f>
        <v>0.13176156917368248</v>
      </c>
      <c r="D27">
        <f>_xlfn.STDEV.S(D12:D21)</f>
        <v>0.13176156917368248</v>
      </c>
      <c r="E27">
        <f t="shared" ref="E27:I27" si="4">_xlfn.STDEV.S(E12:E21)</f>
        <v>0.19720265943665388</v>
      </c>
      <c r="F27">
        <f t="shared" si="4"/>
        <v>0.12909944487358055</v>
      </c>
      <c r="G27">
        <f t="shared" si="4"/>
        <v>0.12909944487358052</v>
      </c>
      <c r="H27">
        <f t="shared" si="4"/>
        <v>0.1054092553389458</v>
      </c>
      <c r="I27">
        <f t="shared" si="4"/>
        <v>0.12909944487358052</v>
      </c>
    </row>
    <row r="28" spans="1:9" x14ac:dyDescent="0.2">
      <c r="A28" t="s">
        <v>22</v>
      </c>
      <c r="C28">
        <f>C27/SQRT(10)</f>
        <v>4.1666666666666664E-2</v>
      </c>
      <c r="D28">
        <f>D27/SQRT(10)</f>
        <v>4.1666666666666664E-2</v>
      </c>
      <c r="E28">
        <f t="shared" ref="E28:I28" si="5">E27/SQRT(10)</f>
        <v>6.2360956446232359E-2</v>
      </c>
      <c r="F28">
        <f t="shared" si="5"/>
        <v>4.0824829046386298E-2</v>
      </c>
      <c r="G28">
        <f t="shared" si="5"/>
        <v>4.0824829046386284E-2</v>
      </c>
      <c r="H28">
        <f t="shared" si="5"/>
        <v>3.333333333333327E-2</v>
      </c>
      <c r="I28">
        <f t="shared" si="5"/>
        <v>4.0824829046386284E-2</v>
      </c>
    </row>
    <row r="29" spans="1:9" x14ac:dyDescent="0.2">
      <c r="A29" s="1" t="s">
        <v>24</v>
      </c>
      <c r="C29">
        <f>C28*2.26</f>
        <v>9.4166666666666649E-2</v>
      </c>
      <c r="D29">
        <f>D28*2.26</f>
        <v>9.4166666666666649E-2</v>
      </c>
      <c r="E29">
        <f t="shared" ref="E29:I29" si="6">E28*2.26</f>
        <v>0.14093576156848511</v>
      </c>
      <c r="F29">
        <f t="shared" si="6"/>
        <v>9.2264113644833029E-2</v>
      </c>
      <c r="G29">
        <f t="shared" si="6"/>
        <v>9.2264113644832987E-2</v>
      </c>
      <c r="H29">
        <f t="shared" si="6"/>
        <v>7.5333333333333183E-2</v>
      </c>
      <c r="I29">
        <f t="shared" si="6"/>
        <v>9.2264113644832987E-2</v>
      </c>
    </row>
    <row r="30" spans="1:9" x14ac:dyDescent="0.2">
      <c r="A30" s="1" t="s">
        <v>12</v>
      </c>
      <c r="G30">
        <f>G26-C26</f>
        <v>0.47499999999999998</v>
      </c>
      <c r="H30">
        <f>H26-C26</f>
        <v>0.57499999999999996</v>
      </c>
      <c r="I30">
        <f>I26-C26</f>
        <v>0.47499999999999998</v>
      </c>
    </row>
    <row r="38" spans="1:9" x14ac:dyDescent="0.2">
      <c r="A38" t="s">
        <v>13</v>
      </c>
      <c r="B38">
        <v>1</v>
      </c>
      <c r="C38">
        <v>1</v>
      </c>
      <c r="D38">
        <v>0.25</v>
      </c>
      <c r="E38">
        <v>0.5</v>
      </c>
      <c r="F38">
        <v>0.25</v>
      </c>
      <c r="G38">
        <v>1</v>
      </c>
      <c r="H38">
        <v>1</v>
      </c>
      <c r="I38">
        <v>1</v>
      </c>
    </row>
    <row r="39" spans="1:9" x14ac:dyDescent="0.2">
      <c r="A39" t="s">
        <v>13</v>
      </c>
      <c r="B39">
        <v>2</v>
      </c>
      <c r="C39">
        <v>1</v>
      </c>
      <c r="D39">
        <v>0.25</v>
      </c>
      <c r="E39">
        <v>0.25</v>
      </c>
      <c r="F39">
        <v>0.5</v>
      </c>
      <c r="G39">
        <v>1</v>
      </c>
      <c r="H39">
        <v>1</v>
      </c>
      <c r="I39">
        <v>0.75</v>
      </c>
    </row>
    <row r="40" spans="1:9" x14ac:dyDescent="0.2">
      <c r="A40" t="s">
        <v>13</v>
      </c>
      <c r="B40">
        <v>3</v>
      </c>
      <c r="C40">
        <v>0.75</v>
      </c>
      <c r="D40">
        <v>0.5</v>
      </c>
      <c r="E40">
        <v>0.75</v>
      </c>
      <c r="F40">
        <v>0.25</v>
      </c>
      <c r="G40">
        <v>1</v>
      </c>
      <c r="H40">
        <v>1</v>
      </c>
      <c r="I40">
        <v>1</v>
      </c>
    </row>
    <row r="41" spans="1:9" x14ac:dyDescent="0.2">
      <c r="A41" t="s">
        <v>13</v>
      </c>
      <c r="B41">
        <v>4</v>
      </c>
      <c r="C41">
        <v>1</v>
      </c>
      <c r="D41">
        <v>0.25</v>
      </c>
      <c r="E41">
        <v>0.5</v>
      </c>
      <c r="F41">
        <v>0.25</v>
      </c>
      <c r="G41">
        <v>1</v>
      </c>
      <c r="H41">
        <v>1</v>
      </c>
      <c r="I41">
        <v>1</v>
      </c>
    </row>
    <row r="42" spans="1:9" x14ac:dyDescent="0.2">
      <c r="A42" t="s">
        <v>13</v>
      </c>
      <c r="B42">
        <v>5</v>
      </c>
      <c r="C42">
        <v>1</v>
      </c>
      <c r="D42">
        <v>0</v>
      </c>
      <c r="E42">
        <v>0.25</v>
      </c>
      <c r="F42">
        <v>0</v>
      </c>
      <c r="G42">
        <v>0.75</v>
      </c>
      <c r="H42">
        <v>1</v>
      </c>
      <c r="I42">
        <v>1</v>
      </c>
    </row>
    <row r="43" spans="1:9" x14ac:dyDescent="0.2">
      <c r="A43" t="s">
        <v>13</v>
      </c>
      <c r="B43">
        <v>6</v>
      </c>
      <c r="C43">
        <v>0.75</v>
      </c>
      <c r="D43">
        <v>0.25</v>
      </c>
      <c r="E43">
        <v>0.5</v>
      </c>
      <c r="F43">
        <v>0.5</v>
      </c>
      <c r="G43">
        <v>1</v>
      </c>
      <c r="H43">
        <v>1</v>
      </c>
      <c r="I43">
        <v>1</v>
      </c>
    </row>
    <row r="44" spans="1:9" x14ac:dyDescent="0.2">
      <c r="A44" t="s">
        <v>13</v>
      </c>
      <c r="B44">
        <v>7</v>
      </c>
      <c r="C44">
        <v>1</v>
      </c>
      <c r="D44">
        <v>0.5</v>
      </c>
      <c r="E44">
        <v>0.75</v>
      </c>
      <c r="F44">
        <v>0.25</v>
      </c>
      <c r="G44">
        <v>1</v>
      </c>
      <c r="H44">
        <v>1</v>
      </c>
      <c r="I44">
        <v>1</v>
      </c>
    </row>
    <row r="45" spans="1:9" x14ac:dyDescent="0.2">
      <c r="A45" t="s">
        <v>13</v>
      </c>
      <c r="B45">
        <v>8</v>
      </c>
      <c r="C45">
        <v>0.75</v>
      </c>
      <c r="D45">
        <v>0</v>
      </c>
      <c r="E45">
        <v>0.25</v>
      </c>
      <c r="F45">
        <v>0.25</v>
      </c>
      <c r="G45">
        <v>1</v>
      </c>
      <c r="H45">
        <v>1</v>
      </c>
      <c r="I45">
        <v>0.75</v>
      </c>
    </row>
    <row r="46" spans="1:9" x14ac:dyDescent="0.2">
      <c r="A46" t="s">
        <v>13</v>
      </c>
      <c r="B46">
        <v>9</v>
      </c>
      <c r="C46">
        <v>1</v>
      </c>
      <c r="D46">
        <v>0.25</v>
      </c>
      <c r="E46">
        <v>0.5</v>
      </c>
      <c r="F46">
        <v>0.5</v>
      </c>
      <c r="G46">
        <v>1</v>
      </c>
      <c r="H46">
        <v>1</v>
      </c>
      <c r="I46">
        <v>1</v>
      </c>
    </row>
    <row r="47" spans="1:9" x14ac:dyDescent="0.2">
      <c r="A47" t="s">
        <v>13</v>
      </c>
      <c r="B47">
        <v>10</v>
      </c>
      <c r="C47">
        <v>1</v>
      </c>
      <c r="D47">
        <v>0.25</v>
      </c>
      <c r="E47">
        <v>0.25</v>
      </c>
      <c r="F47">
        <v>0.25</v>
      </c>
      <c r="G47">
        <v>1</v>
      </c>
      <c r="H47">
        <v>1</v>
      </c>
      <c r="I47">
        <v>1</v>
      </c>
    </row>
    <row r="48" spans="1:9" x14ac:dyDescent="0.2">
      <c r="A48" t="s">
        <v>13</v>
      </c>
      <c r="B48">
        <v>11</v>
      </c>
      <c r="C48">
        <v>0.5</v>
      </c>
      <c r="D48">
        <v>0.25</v>
      </c>
      <c r="E48">
        <v>0.5</v>
      </c>
      <c r="F48">
        <v>0</v>
      </c>
      <c r="G48">
        <v>1</v>
      </c>
      <c r="H48">
        <v>1</v>
      </c>
      <c r="I48">
        <v>1</v>
      </c>
    </row>
    <row r="49" spans="1:9" x14ac:dyDescent="0.2">
      <c r="A49" t="s">
        <v>13</v>
      </c>
      <c r="B49">
        <v>12</v>
      </c>
      <c r="C49">
        <v>0.75</v>
      </c>
      <c r="D49">
        <v>0</v>
      </c>
      <c r="E49">
        <v>0.25</v>
      </c>
      <c r="F49">
        <v>0.25</v>
      </c>
      <c r="G49">
        <v>0.75</v>
      </c>
      <c r="H49">
        <v>1</v>
      </c>
      <c r="I49">
        <v>0.75</v>
      </c>
    </row>
    <row r="50" spans="1:9" x14ac:dyDescent="0.2">
      <c r="A50" t="s">
        <v>13</v>
      </c>
      <c r="B50">
        <v>13</v>
      </c>
      <c r="C50">
        <v>0.5</v>
      </c>
      <c r="D50">
        <v>0.25</v>
      </c>
      <c r="E50">
        <v>0.5</v>
      </c>
      <c r="F50">
        <v>0.5</v>
      </c>
      <c r="G50">
        <v>1</v>
      </c>
      <c r="H50">
        <v>1</v>
      </c>
      <c r="I50">
        <v>1</v>
      </c>
    </row>
    <row r="51" spans="1:9" x14ac:dyDescent="0.2">
      <c r="A51" t="s">
        <v>13</v>
      </c>
      <c r="B51">
        <v>14</v>
      </c>
      <c r="C51">
        <v>0.75</v>
      </c>
      <c r="D51">
        <v>0.5</v>
      </c>
      <c r="E51">
        <v>0.25</v>
      </c>
      <c r="F51">
        <v>0.25</v>
      </c>
      <c r="G51">
        <v>1</v>
      </c>
      <c r="H51">
        <v>1</v>
      </c>
      <c r="I51">
        <v>1</v>
      </c>
    </row>
    <row r="52" spans="1:9" x14ac:dyDescent="0.2">
      <c r="A52" t="s">
        <v>13</v>
      </c>
      <c r="B52">
        <v>15</v>
      </c>
      <c r="C52">
        <v>0.5</v>
      </c>
      <c r="D52">
        <v>0</v>
      </c>
      <c r="E52">
        <v>0</v>
      </c>
      <c r="F52">
        <v>0</v>
      </c>
      <c r="G52">
        <v>0.75</v>
      </c>
      <c r="H52">
        <v>1</v>
      </c>
      <c r="I52">
        <v>0.75</v>
      </c>
    </row>
    <row r="53" spans="1:9" x14ac:dyDescent="0.2">
      <c r="A53" t="s">
        <v>13</v>
      </c>
      <c r="B53">
        <v>16</v>
      </c>
      <c r="C53">
        <v>0.75</v>
      </c>
      <c r="D53">
        <v>0.25</v>
      </c>
      <c r="E53">
        <v>0.5</v>
      </c>
      <c r="F53">
        <v>0.25</v>
      </c>
      <c r="G53">
        <v>1</v>
      </c>
      <c r="H53">
        <v>1</v>
      </c>
      <c r="I53">
        <v>1</v>
      </c>
    </row>
    <row r="54" spans="1:9" x14ac:dyDescent="0.2">
      <c r="A54" t="s">
        <v>13</v>
      </c>
      <c r="B54">
        <v>17</v>
      </c>
      <c r="C54">
        <v>0.5</v>
      </c>
      <c r="D54">
        <v>0.25</v>
      </c>
      <c r="E54">
        <v>0.25</v>
      </c>
      <c r="F54">
        <v>0.5</v>
      </c>
      <c r="G54">
        <v>1</v>
      </c>
      <c r="H54">
        <v>1</v>
      </c>
      <c r="I54">
        <v>0.75</v>
      </c>
    </row>
    <row r="55" spans="1:9" x14ac:dyDescent="0.2">
      <c r="A55" t="s">
        <v>13</v>
      </c>
      <c r="B55">
        <v>18</v>
      </c>
      <c r="C55">
        <v>0.75</v>
      </c>
      <c r="D55">
        <v>0</v>
      </c>
      <c r="E55">
        <v>0.5</v>
      </c>
      <c r="F55">
        <v>0</v>
      </c>
      <c r="G55">
        <v>0.75</v>
      </c>
      <c r="H55">
        <v>1</v>
      </c>
      <c r="I55">
        <v>1</v>
      </c>
    </row>
    <row r="56" spans="1:9" x14ac:dyDescent="0.2">
      <c r="A56" t="s">
        <v>13</v>
      </c>
      <c r="B56">
        <v>19</v>
      </c>
      <c r="C56">
        <v>0.5</v>
      </c>
      <c r="D56">
        <v>0.25</v>
      </c>
      <c r="E56">
        <v>0.25</v>
      </c>
      <c r="F56">
        <v>0.25</v>
      </c>
      <c r="G56">
        <v>1</v>
      </c>
      <c r="H56">
        <v>1</v>
      </c>
      <c r="I56">
        <v>1</v>
      </c>
    </row>
    <row r="57" spans="1:9" x14ac:dyDescent="0.2">
      <c r="A57" t="s">
        <v>13</v>
      </c>
      <c r="B57">
        <v>20</v>
      </c>
      <c r="C57">
        <v>0.75</v>
      </c>
      <c r="D57">
        <v>0.5</v>
      </c>
      <c r="E57">
        <v>0.5</v>
      </c>
      <c r="F57">
        <v>0.5</v>
      </c>
      <c r="G57">
        <v>1</v>
      </c>
      <c r="H57">
        <v>1</v>
      </c>
      <c r="I57">
        <v>0.75</v>
      </c>
    </row>
    <row r="58" spans="1:9" x14ac:dyDescent="0.2">
      <c r="A58" s="1" t="s">
        <v>10</v>
      </c>
      <c r="C58">
        <f>AVERAGE(C38:C57)</f>
        <v>0.77500000000000002</v>
      </c>
      <c r="D58">
        <f t="shared" ref="D58" si="7">AVERAGE(D38:D57)</f>
        <v>0.23749999999999999</v>
      </c>
      <c r="E58">
        <f t="shared" ref="E58" si="8">AVERAGE(E38:E57)</f>
        <v>0.4</v>
      </c>
      <c r="F58">
        <f t="shared" ref="F58" si="9">AVERAGE(F38:F57)</f>
        <v>0.27500000000000002</v>
      </c>
      <c r="G58">
        <f t="shared" ref="G58" si="10">AVERAGE(G38:G57)</f>
        <v>0.95</v>
      </c>
      <c r="H58">
        <f t="shared" ref="H58" si="11">AVERAGE(H38:H57)</f>
        <v>1</v>
      </c>
      <c r="I58">
        <f>AVERAGE(I38:I57)</f>
        <v>0.92500000000000004</v>
      </c>
    </row>
    <row r="59" spans="1:9" x14ac:dyDescent="0.2">
      <c r="A59" s="1" t="s">
        <v>11</v>
      </c>
      <c r="C59">
        <f>AVERAGE(C48:C57)</f>
        <v>0.625</v>
      </c>
      <c r="D59">
        <f t="shared" ref="D59:I59" si="12">AVERAGE(D48:D57)</f>
        <v>0.22500000000000001</v>
      </c>
      <c r="E59">
        <f t="shared" si="12"/>
        <v>0.35</v>
      </c>
      <c r="F59">
        <f t="shared" si="12"/>
        <v>0.25</v>
      </c>
      <c r="G59">
        <f t="shared" si="12"/>
        <v>0.92500000000000004</v>
      </c>
      <c r="H59">
        <f t="shared" si="12"/>
        <v>1</v>
      </c>
      <c r="I59">
        <f t="shared" si="12"/>
        <v>0.9</v>
      </c>
    </row>
    <row r="60" spans="1:9" x14ac:dyDescent="0.2">
      <c r="A60" s="1" t="s">
        <v>12</v>
      </c>
      <c r="G60">
        <f>G59-C59</f>
        <v>0.30000000000000004</v>
      </c>
      <c r="H60">
        <f>H59-C59</f>
        <v>0.375</v>
      </c>
      <c r="I60">
        <f>I59-C59</f>
        <v>0.27500000000000002</v>
      </c>
    </row>
    <row r="62" spans="1:9" x14ac:dyDescent="0.2">
      <c r="A62" t="s">
        <v>14</v>
      </c>
      <c r="B62">
        <v>1</v>
      </c>
      <c r="C62">
        <v>0.75</v>
      </c>
      <c r="D62">
        <v>0.25</v>
      </c>
      <c r="E62">
        <v>0.5</v>
      </c>
      <c r="F62">
        <v>0</v>
      </c>
      <c r="G62">
        <v>0.75</v>
      </c>
      <c r="H62">
        <v>1</v>
      </c>
      <c r="I62">
        <v>0.75</v>
      </c>
    </row>
    <row r="63" spans="1:9" x14ac:dyDescent="0.2">
      <c r="A63" t="s">
        <v>14</v>
      </c>
      <c r="B63">
        <v>2</v>
      </c>
      <c r="C63">
        <v>1</v>
      </c>
      <c r="D63">
        <v>0</v>
      </c>
      <c r="E63">
        <v>0.25</v>
      </c>
      <c r="F63">
        <v>0.25</v>
      </c>
      <c r="G63">
        <v>1</v>
      </c>
      <c r="H63">
        <v>1</v>
      </c>
      <c r="I63">
        <v>1</v>
      </c>
    </row>
    <row r="64" spans="1:9" x14ac:dyDescent="0.2">
      <c r="A64" t="s">
        <v>14</v>
      </c>
      <c r="B64">
        <v>3</v>
      </c>
      <c r="C64">
        <v>0.75</v>
      </c>
      <c r="D64">
        <v>0.25</v>
      </c>
      <c r="E64">
        <v>0.5</v>
      </c>
      <c r="F64">
        <v>0.25</v>
      </c>
      <c r="G64">
        <v>0.75</v>
      </c>
      <c r="H64">
        <v>1</v>
      </c>
      <c r="I64">
        <v>1</v>
      </c>
    </row>
    <row r="65" spans="1:9" x14ac:dyDescent="0.2">
      <c r="A65" t="s">
        <v>14</v>
      </c>
      <c r="B65">
        <v>4</v>
      </c>
      <c r="C65">
        <v>1</v>
      </c>
      <c r="D65">
        <v>0.25</v>
      </c>
      <c r="E65">
        <v>0.25</v>
      </c>
      <c r="F65">
        <v>0</v>
      </c>
      <c r="G65">
        <v>1</v>
      </c>
      <c r="H65">
        <v>1</v>
      </c>
      <c r="I65">
        <v>0.75</v>
      </c>
    </row>
    <row r="66" spans="1:9" x14ac:dyDescent="0.2">
      <c r="A66" t="s">
        <v>14</v>
      </c>
      <c r="B66">
        <v>5</v>
      </c>
      <c r="C66">
        <v>0.75</v>
      </c>
      <c r="D66">
        <v>0</v>
      </c>
      <c r="E66">
        <v>0.25</v>
      </c>
      <c r="F66">
        <v>0.25</v>
      </c>
      <c r="G66">
        <v>1</v>
      </c>
      <c r="H66">
        <v>1</v>
      </c>
      <c r="I66">
        <v>1</v>
      </c>
    </row>
    <row r="67" spans="1:9" x14ac:dyDescent="0.2">
      <c r="A67" t="s">
        <v>14</v>
      </c>
      <c r="B67">
        <v>6</v>
      </c>
      <c r="C67">
        <v>0.75</v>
      </c>
      <c r="D67">
        <v>0.25</v>
      </c>
      <c r="E67">
        <v>0.5</v>
      </c>
      <c r="F67">
        <v>0.5</v>
      </c>
      <c r="G67">
        <v>0.75</v>
      </c>
      <c r="H67">
        <v>1</v>
      </c>
      <c r="I67">
        <v>0.75</v>
      </c>
    </row>
    <row r="68" spans="1:9" x14ac:dyDescent="0.2">
      <c r="A68" t="s">
        <v>14</v>
      </c>
      <c r="B68">
        <v>7</v>
      </c>
      <c r="C68">
        <v>1</v>
      </c>
      <c r="D68">
        <v>0</v>
      </c>
      <c r="E68">
        <v>0.25</v>
      </c>
      <c r="F68">
        <v>0</v>
      </c>
      <c r="G68">
        <v>1</v>
      </c>
      <c r="H68">
        <v>1</v>
      </c>
      <c r="I68">
        <v>1</v>
      </c>
    </row>
    <row r="69" spans="1:9" x14ac:dyDescent="0.2">
      <c r="A69" t="s">
        <v>14</v>
      </c>
      <c r="B69">
        <v>8</v>
      </c>
      <c r="C69">
        <v>0.75</v>
      </c>
      <c r="D69">
        <v>0.25</v>
      </c>
      <c r="E69">
        <v>0.5</v>
      </c>
      <c r="F69">
        <v>0.25</v>
      </c>
      <c r="G69">
        <v>1</v>
      </c>
      <c r="H69">
        <v>1</v>
      </c>
      <c r="I69">
        <v>1</v>
      </c>
    </row>
    <row r="70" spans="1:9" x14ac:dyDescent="0.2">
      <c r="A70" t="s">
        <v>14</v>
      </c>
      <c r="B70">
        <v>9</v>
      </c>
      <c r="C70">
        <v>1</v>
      </c>
      <c r="D70">
        <v>0</v>
      </c>
      <c r="E70">
        <v>0.25</v>
      </c>
      <c r="F70">
        <v>0.25</v>
      </c>
      <c r="G70">
        <v>0.75</v>
      </c>
      <c r="H70">
        <v>1</v>
      </c>
      <c r="I70">
        <v>0.75</v>
      </c>
    </row>
    <row r="71" spans="1:9" x14ac:dyDescent="0.2">
      <c r="A71" t="s">
        <v>14</v>
      </c>
      <c r="B71">
        <v>10</v>
      </c>
      <c r="C71">
        <v>0.75</v>
      </c>
      <c r="D71">
        <v>0.25</v>
      </c>
      <c r="E71">
        <v>0.5</v>
      </c>
      <c r="F71">
        <v>0</v>
      </c>
      <c r="G71">
        <v>1</v>
      </c>
      <c r="H71">
        <v>1</v>
      </c>
      <c r="I71">
        <v>1</v>
      </c>
    </row>
    <row r="72" spans="1:9" x14ac:dyDescent="0.2">
      <c r="A72" t="s">
        <v>14</v>
      </c>
      <c r="B72">
        <v>11</v>
      </c>
      <c r="C72">
        <v>0.5</v>
      </c>
      <c r="D72">
        <v>0</v>
      </c>
      <c r="E72">
        <v>0.25</v>
      </c>
      <c r="F72">
        <v>0.25</v>
      </c>
      <c r="G72">
        <v>0.75</v>
      </c>
      <c r="H72">
        <v>0.75</v>
      </c>
      <c r="I72">
        <v>0.75</v>
      </c>
    </row>
    <row r="73" spans="1:9" x14ac:dyDescent="0.2">
      <c r="A73" t="s">
        <v>14</v>
      </c>
      <c r="B73">
        <v>12</v>
      </c>
      <c r="C73">
        <v>0.25</v>
      </c>
      <c r="D73">
        <v>0.25</v>
      </c>
      <c r="E73">
        <v>0.5</v>
      </c>
      <c r="F73">
        <v>0</v>
      </c>
      <c r="G73">
        <v>0.5</v>
      </c>
      <c r="H73">
        <v>0.75</v>
      </c>
      <c r="I73">
        <v>0.5</v>
      </c>
    </row>
    <row r="74" spans="1:9" x14ac:dyDescent="0.2">
      <c r="A74" t="s">
        <v>14</v>
      </c>
      <c r="B74">
        <v>13</v>
      </c>
      <c r="C74">
        <v>0.5</v>
      </c>
      <c r="D74">
        <v>0</v>
      </c>
      <c r="E74">
        <v>0</v>
      </c>
      <c r="F74">
        <v>0.25</v>
      </c>
      <c r="G74">
        <v>0.75</v>
      </c>
      <c r="H74">
        <v>1</v>
      </c>
      <c r="I74">
        <v>0.75</v>
      </c>
    </row>
    <row r="75" spans="1:9" x14ac:dyDescent="0.2">
      <c r="A75" t="s">
        <v>14</v>
      </c>
      <c r="B75">
        <v>14</v>
      </c>
      <c r="C75">
        <v>0.25</v>
      </c>
      <c r="D75">
        <v>0.25</v>
      </c>
      <c r="E75">
        <v>0.25</v>
      </c>
      <c r="F75">
        <v>0</v>
      </c>
      <c r="G75">
        <v>0.5</v>
      </c>
      <c r="H75">
        <v>0.75</v>
      </c>
      <c r="I75">
        <v>0.75</v>
      </c>
    </row>
    <row r="76" spans="1:9" x14ac:dyDescent="0.2">
      <c r="A76" t="s">
        <v>14</v>
      </c>
      <c r="B76">
        <v>15</v>
      </c>
      <c r="C76">
        <v>0.5</v>
      </c>
      <c r="D76">
        <v>0</v>
      </c>
      <c r="E76">
        <v>0.5</v>
      </c>
      <c r="F76">
        <v>0.5</v>
      </c>
      <c r="G76">
        <v>0.75</v>
      </c>
      <c r="H76">
        <v>0.75</v>
      </c>
      <c r="I76">
        <v>0.5</v>
      </c>
    </row>
    <row r="77" spans="1:9" x14ac:dyDescent="0.2">
      <c r="A77" t="s">
        <v>14</v>
      </c>
      <c r="B77">
        <v>16</v>
      </c>
      <c r="C77">
        <v>0.25</v>
      </c>
      <c r="D77">
        <v>0.25</v>
      </c>
      <c r="E77">
        <v>0.25</v>
      </c>
      <c r="F77">
        <v>0.25</v>
      </c>
      <c r="G77">
        <v>0.75</v>
      </c>
      <c r="H77">
        <v>1</v>
      </c>
      <c r="I77">
        <v>0.75</v>
      </c>
    </row>
    <row r="78" spans="1:9" x14ac:dyDescent="0.2">
      <c r="A78" t="s">
        <v>14</v>
      </c>
      <c r="B78">
        <v>17</v>
      </c>
      <c r="C78">
        <v>0.5</v>
      </c>
      <c r="D78">
        <v>0</v>
      </c>
      <c r="E78">
        <v>0</v>
      </c>
      <c r="F78">
        <v>0</v>
      </c>
      <c r="G78">
        <v>0.5</v>
      </c>
      <c r="H78">
        <v>0.75</v>
      </c>
      <c r="I78">
        <v>0.75</v>
      </c>
    </row>
    <row r="79" spans="1:9" x14ac:dyDescent="0.2">
      <c r="A79" t="s">
        <v>14</v>
      </c>
      <c r="B79">
        <v>18</v>
      </c>
      <c r="C79">
        <v>0.25</v>
      </c>
      <c r="D79">
        <v>0.25</v>
      </c>
      <c r="E79">
        <v>0.5</v>
      </c>
      <c r="F79">
        <v>0.25</v>
      </c>
      <c r="G79">
        <v>0.75</v>
      </c>
      <c r="H79">
        <v>0.75</v>
      </c>
      <c r="I79">
        <v>0.5</v>
      </c>
    </row>
    <row r="80" spans="1:9" x14ac:dyDescent="0.2">
      <c r="A80" t="s">
        <v>14</v>
      </c>
      <c r="B80">
        <v>19</v>
      </c>
      <c r="C80">
        <v>0.5</v>
      </c>
      <c r="D80">
        <v>0</v>
      </c>
      <c r="E80">
        <v>0.25</v>
      </c>
      <c r="F80">
        <v>0</v>
      </c>
      <c r="G80">
        <v>0.5</v>
      </c>
      <c r="H80">
        <v>0.75</v>
      </c>
      <c r="I80">
        <v>0.75</v>
      </c>
    </row>
    <row r="81" spans="1:9" x14ac:dyDescent="0.2">
      <c r="A81" t="s">
        <v>14</v>
      </c>
      <c r="B81">
        <v>20</v>
      </c>
      <c r="C81">
        <v>0.25</v>
      </c>
      <c r="D81">
        <v>0.25</v>
      </c>
      <c r="E81">
        <v>0.25</v>
      </c>
      <c r="F81">
        <v>0.25</v>
      </c>
      <c r="G81">
        <v>0.75</v>
      </c>
      <c r="H81">
        <v>0.75</v>
      </c>
      <c r="I81">
        <v>0.75</v>
      </c>
    </row>
    <row r="82" spans="1:9" x14ac:dyDescent="0.2">
      <c r="A82" s="1" t="s">
        <v>10</v>
      </c>
      <c r="C82">
        <f>AVERAGE(C62:C81)</f>
        <v>0.61250000000000004</v>
      </c>
      <c r="D82">
        <f t="shared" ref="D82" si="13">AVERAGE(D62:D81)</f>
        <v>0.13750000000000001</v>
      </c>
      <c r="E82">
        <f t="shared" ref="E82" si="14">AVERAGE(E62:E81)</f>
        <v>0.32500000000000001</v>
      </c>
      <c r="F82">
        <f t="shared" ref="F82" si="15">AVERAGE(F62:F81)</f>
        <v>0.17499999999999999</v>
      </c>
      <c r="G82">
        <f t="shared" ref="G82" si="16">AVERAGE(G62:G81)</f>
        <v>0.77500000000000002</v>
      </c>
      <c r="H82">
        <f t="shared" ref="H82" si="17">AVERAGE(H62:H81)</f>
        <v>0.9</v>
      </c>
      <c r="I82">
        <f>AVERAGE(I62:I81)</f>
        <v>0.78749999999999998</v>
      </c>
    </row>
    <row r="83" spans="1:9" x14ac:dyDescent="0.2">
      <c r="A83" s="1" t="s">
        <v>11</v>
      </c>
      <c r="C83">
        <f>AVERAGE(C72:C81)</f>
        <v>0.375</v>
      </c>
      <c r="D83">
        <f t="shared" ref="D83:I83" si="18">AVERAGE(D72:D81)</f>
        <v>0.125</v>
      </c>
      <c r="E83">
        <f t="shared" si="18"/>
        <v>0.27500000000000002</v>
      </c>
      <c r="F83">
        <f t="shared" si="18"/>
        <v>0.17499999999999999</v>
      </c>
      <c r="G83">
        <f t="shared" si="18"/>
        <v>0.65</v>
      </c>
      <c r="H83">
        <f t="shared" si="18"/>
        <v>0.8</v>
      </c>
      <c r="I83">
        <f t="shared" si="18"/>
        <v>0.67500000000000004</v>
      </c>
    </row>
    <row r="84" spans="1:9" x14ac:dyDescent="0.2">
      <c r="A84" s="1" t="s">
        <v>12</v>
      </c>
      <c r="G84">
        <f>G83-C83</f>
        <v>0.27500000000000002</v>
      </c>
      <c r="H84">
        <f>H83-C83</f>
        <v>0.42500000000000004</v>
      </c>
      <c r="I84">
        <f>I83-C83</f>
        <v>0.30000000000000004</v>
      </c>
    </row>
    <row r="86" spans="1:9" x14ac:dyDescent="0.2">
      <c r="A86" t="s">
        <v>15</v>
      </c>
      <c r="B86">
        <v>1</v>
      </c>
      <c r="C86">
        <v>0.5</v>
      </c>
      <c r="D86">
        <v>0</v>
      </c>
      <c r="E86">
        <v>0.25</v>
      </c>
      <c r="F86">
        <v>0</v>
      </c>
      <c r="G86">
        <v>0.5</v>
      </c>
      <c r="H86">
        <v>0.75</v>
      </c>
      <c r="I86">
        <v>0.5</v>
      </c>
    </row>
    <row r="87" spans="1:9" x14ac:dyDescent="0.2">
      <c r="A87" t="s">
        <v>15</v>
      </c>
      <c r="B87">
        <v>2</v>
      </c>
      <c r="C87">
        <v>0.75</v>
      </c>
      <c r="D87">
        <v>0.25</v>
      </c>
      <c r="E87">
        <v>0</v>
      </c>
      <c r="F87">
        <v>0.25</v>
      </c>
      <c r="G87">
        <v>0.75</v>
      </c>
      <c r="H87">
        <v>0.75</v>
      </c>
      <c r="I87">
        <v>0.75</v>
      </c>
    </row>
    <row r="88" spans="1:9" x14ac:dyDescent="0.2">
      <c r="A88" t="s">
        <v>15</v>
      </c>
      <c r="B88">
        <v>3</v>
      </c>
      <c r="C88">
        <v>0.5</v>
      </c>
      <c r="D88">
        <v>0</v>
      </c>
      <c r="E88">
        <v>0.25</v>
      </c>
      <c r="F88">
        <v>0</v>
      </c>
      <c r="G88">
        <v>0.5</v>
      </c>
      <c r="H88">
        <v>0.75</v>
      </c>
      <c r="I88">
        <v>0.5</v>
      </c>
    </row>
    <row r="89" spans="1:9" x14ac:dyDescent="0.2">
      <c r="A89" t="s">
        <v>15</v>
      </c>
      <c r="B89">
        <v>4</v>
      </c>
      <c r="C89">
        <v>0.75</v>
      </c>
      <c r="D89">
        <v>0.25</v>
      </c>
      <c r="E89">
        <v>0.25</v>
      </c>
      <c r="F89">
        <v>0.25</v>
      </c>
      <c r="G89">
        <v>0.75</v>
      </c>
      <c r="H89">
        <v>1</v>
      </c>
      <c r="I89">
        <v>0.75</v>
      </c>
    </row>
    <row r="90" spans="1:9" x14ac:dyDescent="0.2">
      <c r="A90" t="s">
        <v>15</v>
      </c>
      <c r="B90">
        <v>5</v>
      </c>
      <c r="C90">
        <v>0.5</v>
      </c>
      <c r="D90">
        <v>0</v>
      </c>
      <c r="E90">
        <v>0</v>
      </c>
      <c r="F90">
        <v>0</v>
      </c>
      <c r="G90">
        <v>0.75</v>
      </c>
      <c r="H90">
        <v>0.75</v>
      </c>
      <c r="I90">
        <v>0.75</v>
      </c>
    </row>
    <row r="91" spans="1:9" x14ac:dyDescent="0.2">
      <c r="A91" t="s">
        <v>15</v>
      </c>
      <c r="B91">
        <v>6</v>
      </c>
      <c r="C91">
        <v>0.75</v>
      </c>
      <c r="D91">
        <v>0.25</v>
      </c>
      <c r="E91">
        <v>0.5</v>
      </c>
      <c r="F91">
        <v>0.25</v>
      </c>
      <c r="G91">
        <v>0.5</v>
      </c>
      <c r="H91">
        <v>0.75</v>
      </c>
      <c r="I91">
        <v>0.5</v>
      </c>
    </row>
    <row r="92" spans="1:9" x14ac:dyDescent="0.2">
      <c r="A92" t="s">
        <v>15</v>
      </c>
      <c r="B92">
        <v>7</v>
      </c>
      <c r="C92">
        <v>0.5</v>
      </c>
      <c r="D92">
        <v>0</v>
      </c>
      <c r="E92">
        <v>0.25</v>
      </c>
      <c r="F92">
        <v>0</v>
      </c>
      <c r="G92">
        <v>0.75</v>
      </c>
      <c r="H92">
        <v>1</v>
      </c>
      <c r="I92">
        <v>0.75</v>
      </c>
    </row>
    <row r="93" spans="1:9" x14ac:dyDescent="0.2">
      <c r="A93" t="s">
        <v>15</v>
      </c>
      <c r="B93">
        <v>8</v>
      </c>
      <c r="C93">
        <v>0.75</v>
      </c>
      <c r="D93">
        <v>0.25</v>
      </c>
      <c r="E93">
        <v>0</v>
      </c>
      <c r="F93">
        <v>0.25</v>
      </c>
      <c r="G93">
        <v>0.75</v>
      </c>
      <c r="H93">
        <v>0.75</v>
      </c>
      <c r="I93">
        <v>0.75</v>
      </c>
    </row>
    <row r="94" spans="1:9" x14ac:dyDescent="0.2">
      <c r="A94" t="s">
        <v>15</v>
      </c>
      <c r="B94">
        <v>9</v>
      </c>
      <c r="C94">
        <v>0.5</v>
      </c>
      <c r="D94">
        <v>0</v>
      </c>
      <c r="E94">
        <v>0.25</v>
      </c>
      <c r="F94">
        <v>0</v>
      </c>
      <c r="G94">
        <v>0.5</v>
      </c>
      <c r="H94">
        <v>0.75</v>
      </c>
      <c r="I94">
        <v>0.5</v>
      </c>
    </row>
    <row r="95" spans="1:9" x14ac:dyDescent="0.2">
      <c r="A95" t="s">
        <v>15</v>
      </c>
      <c r="B95">
        <v>10</v>
      </c>
      <c r="C95">
        <v>0.75</v>
      </c>
      <c r="D95">
        <v>0.25</v>
      </c>
      <c r="E95">
        <v>0.25</v>
      </c>
      <c r="F95">
        <v>0.25</v>
      </c>
      <c r="G95">
        <v>0.75</v>
      </c>
      <c r="H95">
        <v>0.75</v>
      </c>
      <c r="I95">
        <v>0.75</v>
      </c>
    </row>
    <row r="96" spans="1:9" x14ac:dyDescent="0.2">
      <c r="A96" t="s">
        <v>15</v>
      </c>
      <c r="B96">
        <v>11</v>
      </c>
      <c r="C96">
        <v>0.25</v>
      </c>
      <c r="D96">
        <v>0</v>
      </c>
      <c r="E96">
        <v>0</v>
      </c>
      <c r="F96">
        <v>0</v>
      </c>
      <c r="G96">
        <v>0.5</v>
      </c>
      <c r="H96">
        <v>0.75</v>
      </c>
      <c r="I96">
        <v>0.5</v>
      </c>
    </row>
    <row r="97" spans="1:9" x14ac:dyDescent="0.2">
      <c r="A97" t="s">
        <v>15</v>
      </c>
      <c r="B97">
        <v>12</v>
      </c>
      <c r="C97">
        <v>0</v>
      </c>
      <c r="D97">
        <v>0.25</v>
      </c>
      <c r="E97">
        <v>0.25</v>
      </c>
      <c r="F97">
        <v>0.25</v>
      </c>
      <c r="G97">
        <v>0.5</v>
      </c>
      <c r="H97">
        <v>0.5</v>
      </c>
      <c r="I97">
        <v>0.5</v>
      </c>
    </row>
    <row r="98" spans="1:9" x14ac:dyDescent="0.2">
      <c r="A98" t="s">
        <v>15</v>
      </c>
      <c r="B98">
        <v>13</v>
      </c>
      <c r="C98">
        <v>0.25</v>
      </c>
      <c r="D98">
        <v>0</v>
      </c>
      <c r="E98">
        <v>0.5</v>
      </c>
      <c r="F98">
        <v>0</v>
      </c>
      <c r="G98">
        <v>0.75</v>
      </c>
      <c r="H98">
        <v>0.75</v>
      </c>
      <c r="I98">
        <v>0.75</v>
      </c>
    </row>
    <row r="99" spans="1:9" x14ac:dyDescent="0.2">
      <c r="A99" t="s">
        <v>15</v>
      </c>
      <c r="B99">
        <v>14</v>
      </c>
      <c r="C99">
        <v>0</v>
      </c>
      <c r="D99">
        <v>0.25</v>
      </c>
      <c r="E99">
        <v>0</v>
      </c>
      <c r="F99">
        <v>0.25</v>
      </c>
      <c r="G99">
        <v>0.5</v>
      </c>
      <c r="H99">
        <v>0.75</v>
      </c>
      <c r="I99">
        <v>0.5</v>
      </c>
    </row>
    <row r="100" spans="1:9" x14ac:dyDescent="0.2">
      <c r="A100" t="s">
        <v>15</v>
      </c>
      <c r="B100">
        <v>15</v>
      </c>
      <c r="C100">
        <v>0.25</v>
      </c>
      <c r="D100">
        <v>0</v>
      </c>
      <c r="E100">
        <v>0.25</v>
      </c>
      <c r="F100">
        <v>0</v>
      </c>
      <c r="G100">
        <v>0.5</v>
      </c>
      <c r="H100">
        <v>0.5</v>
      </c>
      <c r="I100">
        <v>0.75</v>
      </c>
    </row>
    <row r="101" spans="1:9" x14ac:dyDescent="0.2">
      <c r="A101" t="s">
        <v>15</v>
      </c>
      <c r="B101">
        <v>16</v>
      </c>
      <c r="C101">
        <v>0</v>
      </c>
      <c r="D101">
        <v>0.25</v>
      </c>
      <c r="E101">
        <v>0.25</v>
      </c>
      <c r="F101">
        <v>0.25</v>
      </c>
      <c r="G101">
        <v>0.75</v>
      </c>
      <c r="H101">
        <v>0.75</v>
      </c>
      <c r="I101">
        <v>0.5</v>
      </c>
    </row>
    <row r="102" spans="1:9" x14ac:dyDescent="0.2">
      <c r="A102" t="s">
        <v>15</v>
      </c>
      <c r="B102">
        <v>17</v>
      </c>
      <c r="C102">
        <v>0.25</v>
      </c>
      <c r="D102">
        <v>0</v>
      </c>
      <c r="E102">
        <v>0</v>
      </c>
      <c r="F102">
        <v>0</v>
      </c>
      <c r="G102">
        <v>0.5</v>
      </c>
      <c r="H102">
        <v>0.75</v>
      </c>
      <c r="I102">
        <v>0.5</v>
      </c>
    </row>
    <row r="103" spans="1:9" x14ac:dyDescent="0.2">
      <c r="A103" t="s">
        <v>15</v>
      </c>
      <c r="B103">
        <v>18</v>
      </c>
      <c r="C103">
        <v>0</v>
      </c>
      <c r="D103">
        <v>0.25</v>
      </c>
      <c r="E103">
        <v>0.5</v>
      </c>
      <c r="F103">
        <v>0.25</v>
      </c>
      <c r="G103">
        <v>0.5</v>
      </c>
      <c r="H103">
        <v>0.5</v>
      </c>
      <c r="I103">
        <v>0.5</v>
      </c>
    </row>
    <row r="104" spans="1:9" x14ac:dyDescent="0.2">
      <c r="A104" t="s">
        <v>15</v>
      </c>
      <c r="B104">
        <v>19</v>
      </c>
      <c r="C104">
        <v>0.25</v>
      </c>
      <c r="D104">
        <v>0</v>
      </c>
      <c r="E104">
        <v>0.25</v>
      </c>
      <c r="F104">
        <v>0</v>
      </c>
      <c r="G104">
        <v>0.75</v>
      </c>
      <c r="H104">
        <v>0.75</v>
      </c>
      <c r="I104">
        <v>0.75</v>
      </c>
    </row>
    <row r="105" spans="1:9" x14ac:dyDescent="0.2">
      <c r="A105" t="s">
        <v>15</v>
      </c>
      <c r="B105">
        <v>20</v>
      </c>
      <c r="C105">
        <v>0</v>
      </c>
      <c r="D105">
        <v>0.25</v>
      </c>
      <c r="E105">
        <v>0</v>
      </c>
      <c r="F105">
        <v>0.25</v>
      </c>
      <c r="G105">
        <v>0.5</v>
      </c>
      <c r="H105">
        <v>0.75</v>
      </c>
      <c r="I105">
        <v>0.5</v>
      </c>
    </row>
    <row r="106" spans="1:9" x14ac:dyDescent="0.2">
      <c r="A106" s="1" t="s">
        <v>10</v>
      </c>
      <c r="C106">
        <f>AVERAGE(C86:C105)</f>
        <v>0.375</v>
      </c>
      <c r="D106">
        <f t="shared" ref="D106" si="19">AVERAGE(D86:D105)</f>
        <v>0.125</v>
      </c>
      <c r="E106">
        <f t="shared" ref="E106" si="20">AVERAGE(E86:E105)</f>
        <v>0.2</v>
      </c>
      <c r="F106">
        <f t="shared" ref="F106" si="21">AVERAGE(F86:F105)</f>
        <v>0.125</v>
      </c>
      <c r="G106">
        <f t="shared" ref="G106" si="22">AVERAGE(G86:G105)</f>
        <v>0.61250000000000004</v>
      </c>
      <c r="H106">
        <f t="shared" ref="H106" si="23">AVERAGE(H86:H105)</f>
        <v>0.73750000000000004</v>
      </c>
      <c r="I106">
        <f>AVERAGE(I86:I105)</f>
        <v>0.61250000000000004</v>
      </c>
    </row>
    <row r="107" spans="1:9" x14ac:dyDescent="0.2">
      <c r="A107" s="1" t="s">
        <v>11</v>
      </c>
      <c r="C107">
        <f>AVERAGE(C96:C105)</f>
        <v>0.125</v>
      </c>
      <c r="D107">
        <f t="shared" ref="D107:I107" si="24">AVERAGE(D96:D105)</f>
        <v>0.125</v>
      </c>
      <c r="E107">
        <f t="shared" si="24"/>
        <v>0.2</v>
      </c>
      <c r="F107">
        <f t="shared" si="24"/>
        <v>0.125</v>
      </c>
      <c r="G107">
        <f t="shared" si="24"/>
        <v>0.57499999999999996</v>
      </c>
      <c r="H107">
        <f t="shared" si="24"/>
        <v>0.67500000000000004</v>
      </c>
      <c r="I107">
        <f t="shared" si="24"/>
        <v>0.57499999999999996</v>
      </c>
    </row>
    <row r="108" spans="1:9" x14ac:dyDescent="0.2">
      <c r="A108" s="1" t="s">
        <v>12</v>
      </c>
      <c r="G108">
        <f>G107-C107</f>
        <v>0.44999999999999996</v>
      </c>
      <c r="H108">
        <f>H107-C107</f>
        <v>0.55000000000000004</v>
      </c>
      <c r="I108">
        <f>I107-C107</f>
        <v>0.44999999999999996</v>
      </c>
    </row>
    <row r="110" spans="1:9" x14ac:dyDescent="0.2">
      <c r="A110" t="s">
        <v>16</v>
      </c>
      <c r="B110">
        <v>1</v>
      </c>
      <c r="C110">
        <v>0.75</v>
      </c>
      <c r="D110">
        <v>0.25</v>
      </c>
      <c r="E110">
        <v>0.5</v>
      </c>
      <c r="F110">
        <v>0</v>
      </c>
      <c r="G110">
        <v>0.75</v>
      </c>
      <c r="H110">
        <v>0.75</v>
      </c>
      <c r="I110">
        <v>0.75</v>
      </c>
    </row>
    <row r="111" spans="1:9" x14ac:dyDescent="0.2">
      <c r="A111" t="s">
        <v>16</v>
      </c>
      <c r="B111">
        <v>2</v>
      </c>
      <c r="C111">
        <v>0.75</v>
      </c>
      <c r="D111">
        <v>0</v>
      </c>
      <c r="E111">
        <v>0.25</v>
      </c>
      <c r="F111">
        <v>0.25</v>
      </c>
      <c r="G111">
        <v>0.75</v>
      </c>
      <c r="H111">
        <v>1</v>
      </c>
      <c r="I111">
        <v>0.75</v>
      </c>
    </row>
    <row r="112" spans="1:9" x14ac:dyDescent="0.2">
      <c r="A112" t="s">
        <v>16</v>
      </c>
      <c r="B112">
        <v>3</v>
      </c>
      <c r="C112">
        <v>0.5</v>
      </c>
      <c r="D112">
        <v>0.25</v>
      </c>
      <c r="E112">
        <v>0</v>
      </c>
      <c r="F112">
        <v>0</v>
      </c>
      <c r="G112">
        <v>0.5</v>
      </c>
      <c r="H112">
        <v>0.75</v>
      </c>
      <c r="I112">
        <v>0.5</v>
      </c>
    </row>
    <row r="113" spans="1:9" x14ac:dyDescent="0.2">
      <c r="A113" t="s">
        <v>16</v>
      </c>
      <c r="B113">
        <v>4</v>
      </c>
      <c r="C113">
        <v>0.75</v>
      </c>
      <c r="D113">
        <v>0</v>
      </c>
      <c r="E113">
        <v>0.25</v>
      </c>
      <c r="F113">
        <v>0.25</v>
      </c>
      <c r="G113">
        <v>0.75</v>
      </c>
      <c r="H113">
        <v>0.75</v>
      </c>
      <c r="I113">
        <v>0.75</v>
      </c>
    </row>
    <row r="114" spans="1:9" x14ac:dyDescent="0.2">
      <c r="A114" t="s">
        <v>16</v>
      </c>
      <c r="B114">
        <v>5</v>
      </c>
      <c r="C114">
        <v>0.5</v>
      </c>
      <c r="D114">
        <v>0.25</v>
      </c>
      <c r="E114">
        <v>0.5</v>
      </c>
      <c r="F114">
        <v>0.25</v>
      </c>
      <c r="G114">
        <v>0.75</v>
      </c>
      <c r="H114">
        <v>0.75</v>
      </c>
      <c r="I114">
        <v>0.75</v>
      </c>
    </row>
    <row r="115" spans="1:9" x14ac:dyDescent="0.2">
      <c r="A115" t="s">
        <v>16</v>
      </c>
      <c r="B115">
        <v>6</v>
      </c>
      <c r="C115">
        <v>0.75</v>
      </c>
      <c r="D115">
        <v>0</v>
      </c>
      <c r="E115">
        <v>0.25</v>
      </c>
      <c r="F115">
        <v>0</v>
      </c>
      <c r="G115">
        <v>0.5</v>
      </c>
      <c r="H115">
        <v>0.75</v>
      </c>
      <c r="I115">
        <v>0.5</v>
      </c>
    </row>
    <row r="116" spans="1:9" x14ac:dyDescent="0.2">
      <c r="A116" t="s">
        <v>16</v>
      </c>
      <c r="B116">
        <v>7</v>
      </c>
      <c r="C116">
        <v>0.5</v>
      </c>
      <c r="D116">
        <v>0.25</v>
      </c>
      <c r="E116">
        <v>0</v>
      </c>
      <c r="F116">
        <v>0.25</v>
      </c>
      <c r="G116">
        <v>0.75</v>
      </c>
      <c r="H116">
        <v>1</v>
      </c>
      <c r="I116">
        <v>0.75</v>
      </c>
    </row>
    <row r="117" spans="1:9" x14ac:dyDescent="0.2">
      <c r="A117" t="s">
        <v>16</v>
      </c>
      <c r="B117">
        <v>8</v>
      </c>
      <c r="C117">
        <v>0.75</v>
      </c>
      <c r="D117">
        <v>0</v>
      </c>
      <c r="E117">
        <v>0.25</v>
      </c>
      <c r="F117">
        <v>0</v>
      </c>
      <c r="G117">
        <v>0.75</v>
      </c>
      <c r="H117">
        <v>0.75</v>
      </c>
      <c r="I117">
        <v>0.75</v>
      </c>
    </row>
    <row r="118" spans="1:9" x14ac:dyDescent="0.2">
      <c r="A118" t="s">
        <v>16</v>
      </c>
      <c r="B118">
        <v>9</v>
      </c>
      <c r="C118">
        <v>0.5</v>
      </c>
      <c r="D118">
        <v>0.25</v>
      </c>
      <c r="E118">
        <v>0.5</v>
      </c>
      <c r="F118">
        <v>0.25</v>
      </c>
      <c r="G118">
        <v>0.5</v>
      </c>
      <c r="H118">
        <v>0.75</v>
      </c>
      <c r="I118">
        <v>0.5</v>
      </c>
    </row>
    <row r="119" spans="1:9" x14ac:dyDescent="0.2">
      <c r="A119" t="s">
        <v>16</v>
      </c>
      <c r="B119">
        <v>10</v>
      </c>
      <c r="C119">
        <v>0.75</v>
      </c>
      <c r="D119">
        <v>0</v>
      </c>
      <c r="E119">
        <v>0.25</v>
      </c>
      <c r="F119">
        <v>0</v>
      </c>
      <c r="G119">
        <v>0.75</v>
      </c>
      <c r="H119">
        <v>0.75</v>
      </c>
      <c r="I119">
        <v>0.75</v>
      </c>
    </row>
    <row r="120" spans="1:9" x14ac:dyDescent="0.2">
      <c r="A120" t="s">
        <v>16</v>
      </c>
      <c r="B120">
        <v>11</v>
      </c>
      <c r="C120">
        <v>0.25</v>
      </c>
      <c r="D120">
        <v>0.25</v>
      </c>
      <c r="E120">
        <v>0</v>
      </c>
      <c r="F120">
        <v>0.25</v>
      </c>
      <c r="G120">
        <v>0.5</v>
      </c>
      <c r="H120">
        <v>0.75</v>
      </c>
      <c r="I120">
        <v>0.5</v>
      </c>
    </row>
    <row r="121" spans="1:9" x14ac:dyDescent="0.2">
      <c r="A121" t="s">
        <v>16</v>
      </c>
      <c r="B121">
        <v>12</v>
      </c>
      <c r="C121">
        <v>0.5</v>
      </c>
      <c r="D121">
        <v>0</v>
      </c>
      <c r="E121">
        <v>0.25</v>
      </c>
      <c r="F121">
        <v>0</v>
      </c>
      <c r="G121">
        <v>0.75</v>
      </c>
      <c r="H121">
        <v>0.75</v>
      </c>
      <c r="I121">
        <v>0.75</v>
      </c>
    </row>
    <row r="122" spans="1:9" x14ac:dyDescent="0.2">
      <c r="A122" t="s">
        <v>16</v>
      </c>
      <c r="B122">
        <v>13</v>
      </c>
      <c r="C122">
        <v>0.25</v>
      </c>
      <c r="D122">
        <v>0.25</v>
      </c>
      <c r="E122">
        <v>0.5</v>
      </c>
      <c r="F122">
        <v>0.25</v>
      </c>
      <c r="G122">
        <v>0.5</v>
      </c>
      <c r="H122">
        <v>0.5</v>
      </c>
      <c r="I122">
        <v>0.5</v>
      </c>
    </row>
    <row r="123" spans="1:9" x14ac:dyDescent="0.2">
      <c r="A123" t="s">
        <v>16</v>
      </c>
      <c r="B123">
        <v>14</v>
      </c>
      <c r="C123">
        <v>0</v>
      </c>
      <c r="D123">
        <v>0</v>
      </c>
      <c r="E123">
        <v>0</v>
      </c>
      <c r="F123">
        <v>0</v>
      </c>
      <c r="G123">
        <v>0.5</v>
      </c>
      <c r="H123">
        <v>0.75</v>
      </c>
      <c r="I123">
        <v>0.5</v>
      </c>
    </row>
    <row r="124" spans="1:9" x14ac:dyDescent="0.2">
      <c r="A124" t="s">
        <v>16</v>
      </c>
      <c r="B124">
        <v>15</v>
      </c>
      <c r="C124">
        <v>0.25</v>
      </c>
      <c r="D124">
        <v>0.25</v>
      </c>
      <c r="E124">
        <v>0.25</v>
      </c>
      <c r="F124">
        <v>0.25</v>
      </c>
      <c r="G124">
        <v>0.75</v>
      </c>
      <c r="H124">
        <v>0.75</v>
      </c>
      <c r="I124">
        <v>0.75</v>
      </c>
    </row>
    <row r="125" spans="1:9" x14ac:dyDescent="0.2">
      <c r="A125" t="s">
        <v>16</v>
      </c>
      <c r="B125">
        <v>16</v>
      </c>
      <c r="C125">
        <v>0.5</v>
      </c>
      <c r="D125">
        <v>0</v>
      </c>
      <c r="E125">
        <v>0.25</v>
      </c>
      <c r="F125">
        <v>0</v>
      </c>
      <c r="G125">
        <v>0.5</v>
      </c>
      <c r="H125">
        <v>0.5</v>
      </c>
      <c r="I125">
        <v>0.5</v>
      </c>
    </row>
    <row r="126" spans="1:9" x14ac:dyDescent="0.2">
      <c r="A126" t="s">
        <v>16</v>
      </c>
      <c r="B126">
        <v>17</v>
      </c>
      <c r="C126">
        <v>0.25</v>
      </c>
      <c r="D126">
        <v>0.25</v>
      </c>
      <c r="E126">
        <v>0</v>
      </c>
      <c r="F126">
        <v>0.25</v>
      </c>
      <c r="G126">
        <v>0.75</v>
      </c>
      <c r="H126">
        <v>0.75</v>
      </c>
      <c r="I126">
        <v>0.5</v>
      </c>
    </row>
    <row r="127" spans="1:9" x14ac:dyDescent="0.2">
      <c r="A127" t="s">
        <v>16</v>
      </c>
      <c r="B127">
        <v>18</v>
      </c>
      <c r="C127">
        <v>0</v>
      </c>
      <c r="D127">
        <v>0</v>
      </c>
      <c r="E127">
        <v>0.25</v>
      </c>
      <c r="F127">
        <v>0</v>
      </c>
      <c r="G127">
        <v>0.5</v>
      </c>
      <c r="H127">
        <v>0.75</v>
      </c>
      <c r="I127">
        <v>0.75</v>
      </c>
    </row>
    <row r="128" spans="1:9" x14ac:dyDescent="0.2">
      <c r="A128" t="s">
        <v>16</v>
      </c>
      <c r="B128">
        <v>19</v>
      </c>
      <c r="C128">
        <v>0.25</v>
      </c>
      <c r="D128">
        <v>0.25</v>
      </c>
      <c r="E128">
        <v>0.5</v>
      </c>
      <c r="F128">
        <v>0</v>
      </c>
      <c r="G128">
        <v>0.5</v>
      </c>
      <c r="H128">
        <v>0.5</v>
      </c>
      <c r="I128">
        <v>0.5</v>
      </c>
    </row>
    <row r="129" spans="1:9" x14ac:dyDescent="0.2">
      <c r="A129" t="s">
        <v>16</v>
      </c>
      <c r="B129">
        <v>20</v>
      </c>
      <c r="C129">
        <v>0</v>
      </c>
      <c r="D129">
        <v>0</v>
      </c>
      <c r="E129">
        <v>0</v>
      </c>
      <c r="F129">
        <v>0.25</v>
      </c>
      <c r="G129">
        <v>0.75</v>
      </c>
      <c r="H129">
        <v>0.75</v>
      </c>
      <c r="I129">
        <v>0.75</v>
      </c>
    </row>
    <row r="130" spans="1:9" x14ac:dyDescent="0.2">
      <c r="A130" s="1" t="s">
        <v>10</v>
      </c>
      <c r="C130">
        <f>AVERAGE(C110:C129)</f>
        <v>0.4375</v>
      </c>
      <c r="D130">
        <f t="shared" ref="D130" si="25">AVERAGE(D110:D129)</f>
        <v>0.125</v>
      </c>
      <c r="E130">
        <f t="shared" ref="E130" si="26">AVERAGE(E110:E129)</f>
        <v>0.23749999999999999</v>
      </c>
      <c r="F130">
        <f t="shared" ref="F130" si="27">AVERAGE(F110:F129)</f>
        <v>0.125</v>
      </c>
      <c r="G130">
        <f t="shared" ref="G130" si="28">AVERAGE(G110:G129)</f>
        <v>0.63749999999999996</v>
      </c>
      <c r="H130">
        <f t="shared" ref="H130" si="29">AVERAGE(H110:H129)</f>
        <v>0.73750000000000004</v>
      </c>
      <c r="I130">
        <f>AVERAGE(I110:I129)</f>
        <v>0.63749999999999996</v>
      </c>
    </row>
    <row r="131" spans="1:9" x14ac:dyDescent="0.2">
      <c r="A131" s="1" t="s">
        <v>11</v>
      </c>
      <c r="C131">
        <f>AVERAGE(C120:C129)</f>
        <v>0.22500000000000001</v>
      </c>
      <c r="D131">
        <f t="shared" ref="D131:I131" si="30">AVERAGE(D120:D129)</f>
        <v>0.125</v>
      </c>
      <c r="E131">
        <f t="shared" si="30"/>
        <v>0.2</v>
      </c>
      <c r="F131">
        <f t="shared" si="30"/>
        <v>0.125</v>
      </c>
      <c r="G131">
        <f t="shared" si="30"/>
        <v>0.6</v>
      </c>
      <c r="H131">
        <f t="shared" si="30"/>
        <v>0.67500000000000004</v>
      </c>
      <c r="I131">
        <f t="shared" si="30"/>
        <v>0.6</v>
      </c>
    </row>
    <row r="132" spans="1:9" x14ac:dyDescent="0.2">
      <c r="A132" s="1" t="s">
        <v>12</v>
      </c>
      <c r="G132">
        <f>G131-C131</f>
        <v>0.375</v>
      </c>
      <c r="H132">
        <f>H131-C131</f>
        <v>0.45000000000000007</v>
      </c>
      <c r="I132">
        <f>I131-C131</f>
        <v>0.375</v>
      </c>
    </row>
    <row r="134" spans="1:9" x14ac:dyDescent="0.2">
      <c r="A134" t="s">
        <v>17</v>
      </c>
      <c r="B134">
        <v>1</v>
      </c>
      <c r="C134">
        <v>1</v>
      </c>
      <c r="D134">
        <v>0.5</v>
      </c>
      <c r="E134">
        <v>0.75</v>
      </c>
      <c r="F134">
        <v>0.5</v>
      </c>
      <c r="G134">
        <v>1</v>
      </c>
      <c r="H134">
        <v>1</v>
      </c>
      <c r="I134">
        <v>1</v>
      </c>
    </row>
    <row r="135" spans="1:9" x14ac:dyDescent="0.2">
      <c r="A135" t="s">
        <v>17</v>
      </c>
      <c r="B135">
        <v>2</v>
      </c>
      <c r="C135">
        <v>1</v>
      </c>
      <c r="D135">
        <v>0.75</v>
      </c>
      <c r="E135">
        <v>1</v>
      </c>
      <c r="F135">
        <v>0.75</v>
      </c>
      <c r="G135">
        <v>1</v>
      </c>
      <c r="H135">
        <v>1</v>
      </c>
      <c r="I135">
        <v>1</v>
      </c>
    </row>
    <row r="136" spans="1:9" x14ac:dyDescent="0.2">
      <c r="A136" t="s">
        <v>17</v>
      </c>
      <c r="B136">
        <v>3</v>
      </c>
      <c r="C136">
        <v>0.75</v>
      </c>
      <c r="D136">
        <v>0.5</v>
      </c>
      <c r="E136">
        <v>0.75</v>
      </c>
      <c r="F136">
        <v>0.5</v>
      </c>
      <c r="G136">
        <v>1</v>
      </c>
      <c r="H136">
        <v>1</v>
      </c>
      <c r="I136">
        <v>0.75</v>
      </c>
    </row>
    <row r="137" spans="1:9" x14ac:dyDescent="0.2">
      <c r="A137" t="s">
        <v>17</v>
      </c>
      <c r="B137">
        <v>4</v>
      </c>
      <c r="C137">
        <v>1</v>
      </c>
      <c r="D137">
        <v>0.75</v>
      </c>
      <c r="E137">
        <v>0.75</v>
      </c>
      <c r="F137">
        <v>0.75</v>
      </c>
      <c r="G137">
        <v>1</v>
      </c>
      <c r="H137">
        <v>1</v>
      </c>
      <c r="I137">
        <v>1</v>
      </c>
    </row>
    <row r="138" spans="1:9" x14ac:dyDescent="0.2">
      <c r="A138" t="s">
        <v>17</v>
      </c>
      <c r="B138">
        <v>5</v>
      </c>
      <c r="C138">
        <v>1</v>
      </c>
      <c r="D138">
        <v>0.5</v>
      </c>
      <c r="E138">
        <v>0.5</v>
      </c>
      <c r="F138">
        <v>0.25</v>
      </c>
      <c r="G138">
        <v>1</v>
      </c>
      <c r="H138">
        <v>1</v>
      </c>
      <c r="I138">
        <v>1</v>
      </c>
    </row>
    <row r="139" spans="1:9" x14ac:dyDescent="0.2">
      <c r="A139" t="s">
        <v>17</v>
      </c>
      <c r="B139">
        <v>6</v>
      </c>
      <c r="C139">
        <v>0.75</v>
      </c>
      <c r="D139">
        <v>0.75</v>
      </c>
      <c r="E139">
        <v>1</v>
      </c>
      <c r="F139">
        <v>0.75</v>
      </c>
      <c r="G139">
        <v>1</v>
      </c>
      <c r="H139">
        <v>1</v>
      </c>
      <c r="I139">
        <v>1</v>
      </c>
    </row>
    <row r="140" spans="1:9" x14ac:dyDescent="0.2">
      <c r="A140" t="s">
        <v>17</v>
      </c>
      <c r="B140">
        <v>7</v>
      </c>
      <c r="C140">
        <v>1</v>
      </c>
      <c r="D140">
        <v>0.5</v>
      </c>
      <c r="E140">
        <v>0.75</v>
      </c>
      <c r="F140">
        <v>0.5</v>
      </c>
      <c r="G140">
        <v>1</v>
      </c>
      <c r="H140">
        <v>1</v>
      </c>
      <c r="I140">
        <v>1</v>
      </c>
    </row>
    <row r="141" spans="1:9" x14ac:dyDescent="0.2">
      <c r="A141" t="s">
        <v>17</v>
      </c>
      <c r="B141">
        <v>8</v>
      </c>
      <c r="C141">
        <v>1</v>
      </c>
      <c r="D141">
        <v>0.75</v>
      </c>
      <c r="E141">
        <v>1</v>
      </c>
      <c r="F141">
        <v>0.75</v>
      </c>
      <c r="G141">
        <v>1</v>
      </c>
      <c r="H141">
        <v>1</v>
      </c>
      <c r="I141">
        <v>1</v>
      </c>
    </row>
    <row r="142" spans="1:9" x14ac:dyDescent="0.2">
      <c r="A142" t="s">
        <v>17</v>
      </c>
      <c r="B142">
        <v>9</v>
      </c>
      <c r="C142">
        <v>0.75</v>
      </c>
      <c r="D142">
        <v>0.5</v>
      </c>
      <c r="E142">
        <v>0.75</v>
      </c>
      <c r="F142">
        <v>0.5</v>
      </c>
      <c r="G142">
        <v>1</v>
      </c>
      <c r="H142">
        <v>1</v>
      </c>
      <c r="I142">
        <v>1</v>
      </c>
    </row>
    <row r="143" spans="1:9" x14ac:dyDescent="0.2">
      <c r="A143" t="s">
        <v>17</v>
      </c>
      <c r="B143">
        <v>10</v>
      </c>
      <c r="C143">
        <v>1</v>
      </c>
      <c r="D143">
        <v>0.75</v>
      </c>
      <c r="E143">
        <v>0.75</v>
      </c>
      <c r="F143">
        <v>0.75</v>
      </c>
      <c r="G143">
        <v>1</v>
      </c>
      <c r="H143">
        <v>1</v>
      </c>
      <c r="I143">
        <v>1</v>
      </c>
    </row>
    <row r="144" spans="1:9" x14ac:dyDescent="0.2">
      <c r="A144" t="s">
        <v>17</v>
      </c>
      <c r="B144">
        <v>11</v>
      </c>
      <c r="C144">
        <v>0.75</v>
      </c>
      <c r="D144">
        <v>0.5</v>
      </c>
      <c r="E144">
        <v>0.75</v>
      </c>
      <c r="F144">
        <v>0.5</v>
      </c>
      <c r="G144">
        <v>1</v>
      </c>
      <c r="H144">
        <v>1</v>
      </c>
      <c r="I144">
        <v>1</v>
      </c>
    </row>
    <row r="145" spans="1:9" x14ac:dyDescent="0.2">
      <c r="A145" t="s">
        <v>17</v>
      </c>
      <c r="B145">
        <v>12</v>
      </c>
      <c r="C145">
        <v>0.75</v>
      </c>
      <c r="D145">
        <v>0.75</v>
      </c>
      <c r="E145">
        <v>0.75</v>
      </c>
      <c r="F145">
        <v>0.75</v>
      </c>
      <c r="G145">
        <v>0.75</v>
      </c>
      <c r="H145">
        <v>1</v>
      </c>
      <c r="I145">
        <v>0.75</v>
      </c>
    </row>
    <row r="146" spans="1:9" x14ac:dyDescent="0.2">
      <c r="A146" t="s">
        <v>17</v>
      </c>
      <c r="B146">
        <v>13</v>
      </c>
      <c r="C146">
        <v>0.5</v>
      </c>
      <c r="D146">
        <v>0.5</v>
      </c>
      <c r="E146">
        <v>0.75</v>
      </c>
      <c r="F146">
        <v>0.5</v>
      </c>
      <c r="G146">
        <v>1</v>
      </c>
      <c r="H146">
        <v>1</v>
      </c>
      <c r="I146">
        <v>1</v>
      </c>
    </row>
    <row r="147" spans="1:9" x14ac:dyDescent="0.2">
      <c r="A147" t="s">
        <v>17</v>
      </c>
      <c r="B147">
        <v>14</v>
      </c>
      <c r="C147">
        <v>0.75</v>
      </c>
      <c r="D147">
        <v>0.75</v>
      </c>
      <c r="E147">
        <v>1</v>
      </c>
      <c r="F147">
        <v>0.75</v>
      </c>
      <c r="G147">
        <v>1</v>
      </c>
      <c r="H147">
        <v>1</v>
      </c>
      <c r="I147">
        <v>1</v>
      </c>
    </row>
    <row r="148" spans="1:9" x14ac:dyDescent="0.2">
      <c r="A148" t="s">
        <v>17</v>
      </c>
      <c r="B148">
        <v>15</v>
      </c>
      <c r="C148">
        <v>0.75</v>
      </c>
      <c r="D148">
        <v>0.5</v>
      </c>
      <c r="E148">
        <v>0.75</v>
      </c>
      <c r="F148">
        <v>0.5</v>
      </c>
      <c r="G148">
        <v>0.75</v>
      </c>
      <c r="H148">
        <v>1</v>
      </c>
      <c r="I148">
        <v>1</v>
      </c>
    </row>
    <row r="149" spans="1:9" x14ac:dyDescent="0.2">
      <c r="A149" t="s">
        <v>17</v>
      </c>
      <c r="B149">
        <v>16</v>
      </c>
      <c r="C149">
        <v>0.75</v>
      </c>
      <c r="D149">
        <v>0.75</v>
      </c>
      <c r="E149">
        <v>0.75</v>
      </c>
      <c r="F149">
        <v>0.5</v>
      </c>
      <c r="G149">
        <v>1</v>
      </c>
      <c r="H149">
        <v>1</v>
      </c>
      <c r="I149">
        <v>1</v>
      </c>
    </row>
    <row r="150" spans="1:9" x14ac:dyDescent="0.2">
      <c r="A150" t="s">
        <v>17</v>
      </c>
      <c r="B150">
        <v>17</v>
      </c>
      <c r="C150">
        <v>0.5</v>
      </c>
      <c r="D150">
        <v>0.5</v>
      </c>
      <c r="E150">
        <v>0.5</v>
      </c>
      <c r="F150">
        <v>0.5</v>
      </c>
      <c r="G150">
        <v>1</v>
      </c>
      <c r="H150">
        <v>1</v>
      </c>
      <c r="I150">
        <v>1</v>
      </c>
    </row>
    <row r="151" spans="1:9" x14ac:dyDescent="0.2">
      <c r="A151" t="s">
        <v>17</v>
      </c>
      <c r="B151">
        <v>18</v>
      </c>
      <c r="C151">
        <v>0.75</v>
      </c>
      <c r="D151">
        <v>0.75</v>
      </c>
      <c r="E151">
        <v>0.75</v>
      </c>
      <c r="F151">
        <v>0.75</v>
      </c>
      <c r="G151">
        <v>1</v>
      </c>
      <c r="H151">
        <v>1</v>
      </c>
      <c r="I151">
        <v>0.75</v>
      </c>
    </row>
    <row r="152" spans="1:9" x14ac:dyDescent="0.2">
      <c r="A152" t="s">
        <v>17</v>
      </c>
      <c r="B152">
        <v>19</v>
      </c>
      <c r="C152">
        <v>0.75</v>
      </c>
      <c r="D152">
        <v>0.5</v>
      </c>
      <c r="E152">
        <v>1</v>
      </c>
      <c r="F152">
        <v>0.5</v>
      </c>
      <c r="G152">
        <v>0.75</v>
      </c>
      <c r="H152">
        <v>1</v>
      </c>
      <c r="I152">
        <v>1</v>
      </c>
    </row>
    <row r="153" spans="1:9" x14ac:dyDescent="0.2">
      <c r="A153" t="s">
        <v>17</v>
      </c>
      <c r="B153">
        <v>20</v>
      </c>
      <c r="C153">
        <v>0.75</v>
      </c>
      <c r="D153">
        <v>0.75</v>
      </c>
      <c r="E153">
        <v>0.75</v>
      </c>
      <c r="F153">
        <v>0.75</v>
      </c>
      <c r="G153">
        <v>1</v>
      </c>
      <c r="H153">
        <v>1</v>
      </c>
      <c r="I153">
        <v>1</v>
      </c>
    </row>
    <row r="154" spans="1:9" x14ac:dyDescent="0.2">
      <c r="A154" s="1" t="s">
        <v>10</v>
      </c>
      <c r="C154">
        <f>AVERAGE(C134:C153)</f>
        <v>0.8125</v>
      </c>
      <c r="D154">
        <f t="shared" ref="D154" si="31">AVERAGE(D134:D153)</f>
        <v>0.625</v>
      </c>
      <c r="E154">
        <f t="shared" ref="E154" si="32">AVERAGE(E134:E153)</f>
        <v>0.78749999999999998</v>
      </c>
      <c r="F154">
        <f t="shared" ref="F154" si="33">AVERAGE(F134:F153)</f>
        <v>0.6</v>
      </c>
      <c r="G154">
        <f t="shared" ref="G154" si="34">AVERAGE(G134:G153)</f>
        <v>0.96250000000000002</v>
      </c>
      <c r="H154">
        <f t="shared" ref="H154" si="35">AVERAGE(H134:H153)</f>
        <v>1</v>
      </c>
      <c r="I154">
        <f>AVERAGE(I134:I153)</f>
        <v>0.96250000000000002</v>
      </c>
    </row>
    <row r="155" spans="1:9" x14ac:dyDescent="0.2">
      <c r="A155" s="1" t="s">
        <v>11</v>
      </c>
      <c r="C155">
        <f>AVERAGE(C144:C153)</f>
        <v>0.7</v>
      </c>
      <c r="D155">
        <f t="shared" ref="D155:I155" si="36">AVERAGE(D144:D153)</f>
        <v>0.625</v>
      </c>
      <c r="E155">
        <f t="shared" si="36"/>
        <v>0.77500000000000002</v>
      </c>
      <c r="F155">
        <f t="shared" si="36"/>
        <v>0.6</v>
      </c>
      <c r="G155">
        <f t="shared" si="36"/>
        <v>0.92500000000000004</v>
      </c>
      <c r="H155">
        <f t="shared" si="36"/>
        <v>1</v>
      </c>
      <c r="I155">
        <f t="shared" si="36"/>
        <v>0.95</v>
      </c>
    </row>
    <row r="156" spans="1:9" x14ac:dyDescent="0.2">
      <c r="A156" s="1" t="s">
        <v>12</v>
      </c>
      <c r="G156">
        <f>G155-C155</f>
        <v>0.22500000000000009</v>
      </c>
      <c r="H156">
        <f>H155-C155</f>
        <v>0.30000000000000004</v>
      </c>
      <c r="I156">
        <f>I155-C155</f>
        <v>0.25</v>
      </c>
    </row>
    <row r="158" spans="1:9" x14ac:dyDescent="0.2">
      <c r="A158" t="s">
        <v>18</v>
      </c>
      <c r="B158">
        <v>1</v>
      </c>
      <c r="C158">
        <v>0.75</v>
      </c>
      <c r="D158">
        <v>0</v>
      </c>
      <c r="E158">
        <v>0.25</v>
      </c>
      <c r="F158">
        <v>0</v>
      </c>
      <c r="G158">
        <v>0.5</v>
      </c>
      <c r="H158">
        <v>0.75</v>
      </c>
      <c r="I158">
        <v>0.5</v>
      </c>
    </row>
    <row r="159" spans="1:9" x14ac:dyDescent="0.2">
      <c r="A159" t="s">
        <v>18</v>
      </c>
      <c r="B159">
        <v>2</v>
      </c>
      <c r="C159">
        <v>0.5</v>
      </c>
      <c r="D159">
        <v>0.25</v>
      </c>
      <c r="E159">
        <v>0</v>
      </c>
      <c r="F159">
        <v>0.25</v>
      </c>
      <c r="G159">
        <v>0.75</v>
      </c>
      <c r="H159">
        <v>0.75</v>
      </c>
      <c r="I159">
        <v>0.75</v>
      </c>
    </row>
    <row r="160" spans="1:9" x14ac:dyDescent="0.2">
      <c r="A160" t="s">
        <v>18</v>
      </c>
      <c r="B160">
        <v>3</v>
      </c>
      <c r="C160">
        <v>0.75</v>
      </c>
      <c r="D160">
        <v>0</v>
      </c>
      <c r="E160">
        <v>0.25</v>
      </c>
      <c r="F160">
        <v>0</v>
      </c>
      <c r="G160">
        <v>0.5</v>
      </c>
      <c r="H160">
        <v>0.75</v>
      </c>
      <c r="I160">
        <v>0.5</v>
      </c>
    </row>
    <row r="161" spans="1:9" x14ac:dyDescent="0.2">
      <c r="A161" t="s">
        <v>18</v>
      </c>
      <c r="B161">
        <v>4</v>
      </c>
      <c r="C161">
        <v>0.5</v>
      </c>
      <c r="D161">
        <v>0.25</v>
      </c>
      <c r="E161">
        <v>0.5</v>
      </c>
      <c r="F161">
        <v>0.25</v>
      </c>
      <c r="G161">
        <v>0.75</v>
      </c>
      <c r="H161">
        <v>1</v>
      </c>
      <c r="I161">
        <v>0.75</v>
      </c>
    </row>
    <row r="162" spans="1:9" x14ac:dyDescent="0.2">
      <c r="A162" t="s">
        <v>18</v>
      </c>
      <c r="B162">
        <v>5</v>
      </c>
      <c r="C162">
        <v>0.75</v>
      </c>
      <c r="D162">
        <v>0</v>
      </c>
      <c r="E162">
        <v>0</v>
      </c>
      <c r="F162">
        <v>0</v>
      </c>
      <c r="G162">
        <v>0.75</v>
      </c>
      <c r="H162">
        <v>0.75</v>
      </c>
      <c r="I162">
        <v>0.75</v>
      </c>
    </row>
    <row r="163" spans="1:9" x14ac:dyDescent="0.2">
      <c r="A163" t="s">
        <v>18</v>
      </c>
      <c r="B163">
        <v>6</v>
      </c>
      <c r="C163">
        <v>0.5</v>
      </c>
      <c r="D163">
        <v>0.25</v>
      </c>
      <c r="E163">
        <v>0.25</v>
      </c>
      <c r="F163">
        <v>0.25</v>
      </c>
      <c r="G163">
        <v>0.5</v>
      </c>
      <c r="H163">
        <v>0.75</v>
      </c>
      <c r="I163">
        <v>0.5</v>
      </c>
    </row>
    <row r="164" spans="1:9" x14ac:dyDescent="0.2">
      <c r="A164" t="s">
        <v>18</v>
      </c>
      <c r="B164">
        <v>7</v>
      </c>
      <c r="C164">
        <v>0.75</v>
      </c>
      <c r="D164">
        <v>0</v>
      </c>
      <c r="E164">
        <v>0.25</v>
      </c>
      <c r="F164">
        <v>0</v>
      </c>
      <c r="G164">
        <v>0.75</v>
      </c>
      <c r="H164">
        <v>0.75</v>
      </c>
      <c r="I164">
        <v>0.75</v>
      </c>
    </row>
    <row r="165" spans="1:9" x14ac:dyDescent="0.2">
      <c r="A165" t="s">
        <v>18</v>
      </c>
      <c r="B165">
        <v>8</v>
      </c>
      <c r="C165">
        <v>0.5</v>
      </c>
      <c r="D165">
        <v>0.25</v>
      </c>
      <c r="E165">
        <v>0</v>
      </c>
      <c r="F165">
        <v>0.25</v>
      </c>
      <c r="G165">
        <v>0.5</v>
      </c>
      <c r="H165">
        <v>0.75</v>
      </c>
      <c r="I165">
        <v>0.5</v>
      </c>
    </row>
    <row r="166" spans="1:9" x14ac:dyDescent="0.2">
      <c r="A166" t="s">
        <v>18</v>
      </c>
      <c r="B166">
        <v>9</v>
      </c>
      <c r="C166">
        <v>0.75</v>
      </c>
      <c r="D166">
        <v>0</v>
      </c>
      <c r="E166">
        <v>0.5</v>
      </c>
      <c r="F166">
        <v>0</v>
      </c>
      <c r="G166">
        <v>0.75</v>
      </c>
      <c r="H166">
        <v>1</v>
      </c>
      <c r="I166">
        <v>0.75</v>
      </c>
    </row>
    <row r="167" spans="1:9" x14ac:dyDescent="0.2">
      <c r="A167" t="s">
        <v>18</v>
      </c>
      <c r="B167">
        <v>10</v>
      </c>
      <c r="C167">
        <v>0.5</v>
      </c>
      <c r="D167">
        <v>0.25</v>
      </c>
      <c r="E167">
        <v>0.25</v>
      </c>
      <c r="F167">
        <v>0.25</v>
      </c>
      <c r="G167">
        <v>0.75</v>
      </c>
      <c r="H167">
        <v>0.75</v>
      </c>
      <c r="I167">
        <v>0.75</v>
      </c>
    </row>
    <row r="168" spans="1:9" x14ac:dyDescent="0.2">
      <c r="A168" t="s">
        <v>18</v>
      </c>
      <c r="B168">
        <v>11</v>
      </c>
      <c r="C168">
        <v>0.25</v>
      </c>
      <c r="D168">
        <v>0</v>
      </c>
      <c r="E168">
        <v>0</v>
      </c>
      <c r="F168">
        <v>0</v>
      </c>
      <c r="G168">
        <v>0.5</v>
      </c>
      <c r="H168">
        <v>0.75</v>
      </c>
      <c r="I168">
        <v>0.5</v>
      </c>
    </row>
    <row r="169" spans="1:9" x14ac:dyDescent="0.2">
      <c r="A169" t="s">
        <v>18</v>
      </c>
      <c r="B169">
        <v>12</v>
      </c>
      <c r="C169">
        <v>0</v>
      </c>
      <c r="D169">
        <v>0.25</v>
      </c>
      <c r="E169">
        <v>0.25</v>
      </c>
      <c r="F169">
        <v>0.25</v>
      </c>
      <c r="G169">
        <v>0.75</v>
      </c>
      <c r="H169">
        <v>0.75</v>
      </c>
      <c r="I169">
        <v>0.75</v>
      </c>
    </row>
    <row r="170" spans="1:9" x14ac:dyDescent="0.2">
      <c r="A170" t="s">
        <v>18</v>
      </c>
      <c r="B170">
        <v>13</v>
      </c>
      <c r="C170">
        <v>0.25</v>
      </c>
      <c r="D170">
        <v>0</v>
      </c>
      <c r="E170">
        <v>0.25</v>
      </c>
      <c r="F170">
        <v>0</v>
      </c>
      <c r="G170">
        <v>0.5</v>
      </c>
      <c r="H170">
        <v>0.5</v>
      </c>
      <c r="I170">
        <v>0.5</v>
      </c>
    </row>
    <row r="171" spans="1:9" x14ac:dyDescent="0.2">
      <c r="A171" t="s">
        <v>18</v>
      </c>
      <c r="B171">
        <v>14</v>
      </c>
      <c r="C171">
        <v>0</v>
      </c>
      <c r="D171">
        <v>0.25</v>
      </c>
      <c r="E171">
        <v>0</v>
      </c>
      <c r="F171">
        <v>0.25</v>
      </c>
      <c r="G171">
        <v>0.5</v>
      </c>
      <c r="H171">
        <v>0.75</v>
      </c>
      <c r="I171">
        <v>0.5</v>
      </c>
    </row>
    <row r="172" spans="1:9" x14ac:dyDescent="0.2">
      <c r="A172" t="s">
        <v>18</v>
      </c>
      <c r="B172">
        <v>15</v>
      </c>
      <c r="C172">
        <v>0.25</v>
      </c>
      <c r="D172">
        <v>0</v>
      </c>
      <c r="E172">
        <v>0.5</v>
      </c>
      <c r="F172">
        <v>0.25</v>
      </c>
      <c r="G172">
        <v>0.75</v>
      </c>
      <c r="H172">
        <v>0.75</v>
      </c>
      <c r="I172">
        <v>0.75</v>
      </c>
    </row>
    <row r="173" spans="1:9" x14ac:dyDescent="0.2">
      <c r="A173" t="s">
        <v>18</v>
      </c>
      <c r="B173">
        <v>16</v>
      </c>
      <c r="C173">
        <v>0</v>
      </c>
      <c r="D173">
        <v>0.25</v>
      </c>
      <c r="E173">
        <v>0.25</v>
      </c>
      <c r="F173">
        <v>0</v>
      </c>
      <c r="G173">
        <v>0.5</v>
      </c>
      <c r="H173">
        <v>0.5</v>
      </c>
      <c r="I173">
        <v>0.5</v>
      </c>
    </row>
    <row r="174" spans="1:9" x14ac:dyDescent="0.2">
      <c r="A174" t="s">
        <v>18</v>
      </c>
      <c r="B174">
        <v>17</v>
      </c>
      <c r="C174">
        <v>0.25</v>
      </c>
      <c r="D174">
        <v>0</v>
      </c>
      <c r="E174">
        <v>0</v>
      </c>
      <c r="F174">
        <v>0.25</v>
      </c>
      <c r="G174">
        <v>0.5</v>
      </c>
      <c r="H174">
        <v>0.75</v>
      </c>
      <c r="I174">
        <v>0.5</v>
      </c>
    </row>
    <row r="175" spans="1:9" x14ac:dyDescent="0.2">
      <c r="A175" t="s">
        <v>18</v>
      </c>
      <c r="B175">
        <v>18</v>
      </c>
      <c r="C175">
        <v>0</v>
      </c>
      <c r="D175">
        <v>0.25</v>
      </c>
      <c r="E175">
        <v>0.25</v>
      </c>
      <c r="F175">
        <v>0</v>
      </c>
      <c r="G175">
        <v>0.75</v>
      </c>
      <c r="H175">
        <v>0.75</v>
      </c>
      <c r="I175">
        <v>0.75</v>
      </c>
    </row>
    <row r="176" spans="1:9" x14ac:dyDescent="0.2">
      <c r="A176" t="s">
        <v>18</v>
      </c>
      <c r="B176">
        <v>19</v>
      </c>
      <c r="C176">
        <v>0.25</v>
      </c>
      <c r="D176">
        <v>0</v>
      </c>
      <c r="E176">
        <v>0.25</v>
      </c>
      <c r="F176">
        <v>0.25</v>
      </c>
      <c r="G176">
        <v>0.5</v>
      </c>
      <c r="H176">
        <v>0.5</v>
      </c>
      <c r="I176">
        <v>0.5</v>
      </c>
    </row>
    <row r="177" spans="1:9" x14ac:dyDescent="0.2">
      <c r="A177" t="s">
        <v>18</v>
      </c>
      <c r="B177">
        <v>20</v>
      </c>
      <c r="C177">
        <v>0</v>
      </c>
      <c r="D177">
        <v>0.25</v>
      </c>
      <c r="E177">
        <v>0</v>
      </c>
      <c r="F177">
        <v>0</v>
      </c>
      <c r="G177">
        <v>0.75</v>
      </c>
      <c r="H177">
        <v>0.75</v>
      </c>
      <c r="I177">
        <v>0.75</v>
      </c>
    </row>
    <row r="178" spans="1:9" x14ac:dyDescent="0.2">
      <c r="A178" s="1" t="s">
        <v>10</v>
      </c>
      <c r="C178">
        <f>AVERAGE(C158:C177)</f>
        <v>0.375</v>
      </c>
      <c r="D178">
        <f t="shared" ref="D178" si="37">AVERAGE(D158:D177)</f>
        <v>0.125</v>
      </c>
      <c r="E178">
        <f t="shared" ref="E178" si="38">AVERAGE(E158:E177)</f>
        <v>0.2</v>
      </c>
      <c r="F178">
        <f t="shared" ref="F178" si="39">AVERAGE(F158:F177)</f>
        <v>0.125</v>
      </c>
      <c r="G178">
        <f t="shared" ref="G178" si="40">AVERAGE(G158:G177)</f>
        <v>0.625</v>
      </c>
      <c r="H178">
        <f t="shared" ref="H178" si="41">AVERAGE(H158:H177)</f>
        <v>0.73750000000000004</v>
      </c>
      <c r="I178">
        <f>AVERAGE(I158:I177)</f>
        <v>0.625</v>
      </c>
    </row>
    <row r="179" spans="1:9" x14ac:dyDescent="0.2">
      <c r="A179" s="1" t="s">
        <v>11</v>
      </c>
      <c r="C179">
        <f>AVERAGE(C168:C177)</f>
        <v>0.125</v>
      </c>
      <c r="D179">
        <f t="shared" ref="D179:I179" si="42">AVERAGE(D168:D177)</f>
        <v>0.125</v>
      </c>
      <c r="E179">
        <f t="shared" si="42"/>
        <v>0.17499999999999999</v>
      </c>
      <c r="F179">
        <f t="shared" si="42"/>
        <v>0.125</v>
      </c>
      <c r="G179">
        <f t="shared" si="42"/>
        <v>0.6</v>
      </c>
      <c r="H179">
        <f t="shared" si="42"/>
        <v>0.67500000000000004</v>
      </c>
      <c r="I179">
        <f t="shared" si="42"/>
        <v>0.6</v>
      </c>
    </row>
    <row r="180" spans="1:9" x14ac:dyDescent="0.2">
      <c r="A180" s="1" t="s">
        <v>12</v>
      </c>
      <c r="G180">
        <f>G179-C179</f>
        <v>0.47499999999999998</v>
      </c>
      <c r="H180">
        <f>H179-C179</f>
        <v>0.55000000000000004</v>
      </c>
      <c r="I180">
        <f>I179-C179</f>
        <v>0.47499999999999998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Chu Barbosa</cp:lastModifiedBy>
  <dcterms:created xsi:type="dcterms:W3CDTF">2025-12-02T04:23:14Z</dcterms:created>
  <dcterms:modified xsi:type="dcterms:W3CDTF">2025-12-02T13:17:35Z</dcterms:modified>
</cp:coreProperties>
</file>